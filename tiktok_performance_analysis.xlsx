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reators &amp; Treemap" sheetId="2" state="visible" r:id="rId2"/>
    <sheet name="Deep Dive &amp; Factors" sheetId="3" state="visible" r:id="rId3"/>
    <sheet name="Clea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i val="1"/>
      <color rgb="00777777"/>
      <sz val="9"/>
    </font>
    <font>
      <name val="Segoe UI"/>
      <b val="1"/>
      <color rgb="00555555"/>
      <sz val="8"/>
    </font>
    <font>
      <name val="Segoe UI"/>
      <b val="1"/>
      <color rgb="001B365D"/>
      <sz val="18"/>
    </font>
    <font>
      <name val="Segoe UI"/>
      <i val="1"/>
      <color rgb="00666666"/>
      <sz val="8"/>
    </font>
    <font>
      <name val="Segoe UI"/>
      <b val="1"/>
      <color rgb="001B365D"/>
      <sz val="12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EAEFF5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2E5B88"/>
        <bgColor rgb="002E5B88"/>
      </patternFill>
    </fill>
    <fill>
      <patternFill patternType="solid">
        <fgColor rgb="004A6984"/>
        <bgColor rgb="004A698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0" fillId="4" borderId="0" applyAlignment="1" pivotButton="0" quotePrefix="0" xfId="0">
      <alignment horizontal="center" vertical="center"/>
    </xf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7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5" borderId="0" pivotButton="0" quotePrefix="0" xfId="0"/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Multiplicateur Viral Médian (Vues / Followers)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'Deep Dive &amp; Factors'!H7</f>
            </strRef>
          </tx>
          <spPr>
            <a:ln>
              <a:prstDash val="solid"/>
            </a:ln>
          </spPr>
          <cat>
            <numRef>
              <f>'Deep Dive &amp; Factors'!$B$8:$B$10</f>
            </numRef>
          </cat>
          <val>
            <numRef>
              <f>'Deep Dive &amp; Factors'!$H$8:$H$10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Ratio Vues / Followers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2">
      <c r="B2" s="1" t="inlineStr">
        <is>
          <t>RUSH 1 : DATAVIZ STUDIO — ÉTUDE STRATÉGIQUE DE PERFORMANCE TIKTOK</t>
        </is>
      </c>
    </row>
    <row r="3">
      <c r="B3" s="2" t="inlineStr">
        <is>
          <t>Recommandations data-driven pour la sélection de créateurs B2C | Agence Marketing d'Influence Paris</t>
        </is>
      </c>
    </row>
    <row r="4">
      <c r="B4" s="3" t="inlineStr">
        <is>
          <t>Public : Direction Marketing &amp; Client | Format : Lecture Exécutive 5 minutes | Données : Extractions Publiques TikTok</t>
        </is>
      </c>
    </row>
    <row r="6">
      <c r="B6" s="4" t="inlineStr">
        <is>
          <t>VUES TOTALES ANALYSÉES</t>
        </is>
      </c>
      <c r="C6" s="5" t="n"/>
      <c r="D6" s="4" t="inlineStr">
        <is>
          <t>TAUX D'ENGAGEMENT MÉDIAN</t>
        </is>
      </c>
      <c r="E6" s="5" t="n"/>
      <c r="F6" s="4" t="inlineStr">
        <is>
          <t>VIRALITÉ MICRO-CRÉATEURS</t>
        </is>
      </c>
      <c r="G6" s="5" t="n"/>
      <c r="H6" s="4" t="inlineStr">
        <is>
          <t>USAGE DE SONS ORIGINAUX</t>
        </is>
      </c>
      <c r="I6" s="5" t="n"/>
    </row>
    <row r="7">
      <c r="B7" s="6" t="inlineStr">
        <is>
          <t>6,79 Mds</t>
        </is>
      </c>
      <c r="C7" s="5" t="n"/>
      <c r="D7" s="6" t="inlineStr">
        <is>
          <t>16,1 %</t>
        </is>
      </c>
      <c r="E7" s="5" t="n"/>
      <c r="F7" s="6" t="inlineStr">
        <is>
          <t>106,9x</t>
        </is>
      </c>
      <c r="G7" s="5" t="n"/>
      <c r="H7" s="6" t="inlineStr">
        <is>
          <t>75,0 %</t>
        </is>
      </c>
      <c r="I7" s="5" t="n"/>
    </row>
    <row r="8">
      <c r="B8" s="7" t="inlineStr">
        <is>
          <t>100 vidéos représentatives</t>
        </is>
      </c>
      <c r="C8" s="5" t="n"/>
      <c r="D8" s="7" t="inlineStr">
        <is>
          <t>Interactions / Vues</t>
        </is>
      </c>
      <c r="E8" s="5" t="n"/>
      <c r="F8" s="7" t="inlineStr">
        <is>
          <t>Ratio Vues / Followers (&lt;1M)</t>
        </is>
      </c>
      <c r="G8" s="5" t="n"/>
      <c r="H8" s="7" t="inlineStr">
        <is>
          <t>Part des vidéos virales</t>
        </is>
      </c>
      <c r="I8" s="5" t="n"/>
    </row>
    <row r="10">
      <c r="B10" s="8" t="inlineStr">
        <is>
          <t>1. RÉPONSES AUX QUESTIONS CLÉS &amp; CONCLUSIONS CHIFFRÉES</t>
        </is>
      </c>
    </row>
    <row r="12">
      <c r="B12" s="9" t="inlineStr">
        <is>
          <t>A. Objection Manager : 'Est-ce que les gros comptes gagnent d'office ?'</t>
        </is>
      </c>
    </row>
    <row r="13">
      <c r="B13" s="10" t="inlineStr">
        <is>
          <t>NON. La donnée démontre une efficacité très supérieure des petits comptes :</t>
        </is>
      </c>
    </row>
    <row r="14">
      <c r="B14" s="10" t="inlineStr">
        <is>
          <t>- Les Micro/Nano (&lt;1M followers) génèrent en médiane 106,9x leur base d'abonnés en vues, contre 6,1x pour les Mega (5M+).</t>
        </is>
      </c>
    </row>
    <row r="15">
      <c r="B15" s="10" t="inlineStr">
        <is>
          <t>- Leur taux d'engagement médian est également supérieur (19,4% vs 15,2% pour les Mega comptes).</t>
        </is>
      </c>
    </row>
    <row r="16">
      <c r="B16" s="11" t="inlineStr">
        <is>
          <t>Conclusion : Pour une marque B2C, allouer du budget aux micro/mid créateurs maximise le reach organique et le ROI.</t>
        </is>
      </c>
    </row>
    <row r="18">
      <c r="B18" s="9" t="inlineStr">
        <is>
          <t>B. Facteur Contrôlable : La durée optimale d'une vidéo</t>
        </is>
      </c>
    </row>
    <row r="19">
      <c r="B19" s="10" t="inlineStr">
        <is>
          <t>La durée est un levier direct sous le contrôle du créateur :</t>
        </is>
      </c>
    </row>
    <row r="20">
      <c r="B20" s="10" t="inlineStr">
        <is>
          <t>- Le format court (&lt;= 15 secondes) domine le volume de diffusion avec 75,8 M de vues moyennes (83% des vidéos tendances font &lt;= 15s).</t>
        </is>
      </c>
    </row>
    <row r="21">
      <c r="B21" s="10" t="inlineStr">
        <is>
          <t>- Le format long (&gt; 30 secondes) capte moins de vues (52,7 M) mais surperforme en engagement qualitatif (18,9% d'ER moyen).</t>
        </is>
      </c>
    </row>
    <row r="22">
      <c r="B22" s="11" t="inlineStr">
        <is>
          <t>Recommandation : Viser des vidéos rythmées de 9 à 14 secondes pour la notoriété, et &gt;30s uniquement pour du storytelling de marque.</t>
        </is>
      </c>
    </row>
    <row r="24">
      <c r="B24" s="9" t="inlineStr">
        <is>
          <t>C. Facteur Contrôlable : Audio original vs Musique commerciale</t>
        </is>
      </c>
    </row>
    <row r="25">
      <c r="B25" s="10" t="inlineStr">
        <is>
          <t>Le choix sonore conditionne l'intégration dans l'algorithme :</t>
        </is>
      </c>
    </row>
    <row r="26">
      <c r="B26" s="10" t="inlineStr">
        <is>
          <t>- 75% des vidéos virales utilisent un son original/meme plutôt qu'une piste musicale commerciale sous licence standard.</t>
        </is>
      </c>
    </row>
    <row r="27">
      <c r="B27" s="10" t="inlineStr">
        <is>
          <t>- Les sons originaux surperforment en volume (+20% de vues moyennes : 71,4 M vs 59,4 M).</t>
        </is>
      </c>
    </row>
    <row r="28">
      <c r="B28" s="11" t="inlineStr">
        <is>
          <t>Recommandation : Co-créer des audios de marque détournables plutôt que d'imposer un jingle corporate.</t>
        </is>
      </c>
    </row>
    <row r="30">
      <c r="B30" s="9" t="inlineStr">
        <is>
          <t>D. Facteurs Non-Influents (Ce que la donnée permet d'écarter)</t>
        </is>
      </c>
    </row>
    <row r="31">
      <c r="B31" s="10" t="inlineStr">
        <is>
          <t>Rigueur d'analyse : identifier les faux leviers est aussi important que trouver les vrais :</t>
        </is>
      </c>
    </row>
    <row r="32">
      <c r="B32" s="10" t="inlineStr">
        <is>
          <t>- Le badge certifié (Verified) n'apporte AUCUN surcroît de vues (65,8 M moy. avec badge vs 70,2 M sans badge) ni d'engagement (15,5% vs 16,8%).</t>
        </is>
      </c>
    </row>
    <row r="33">
      <c r="B33" s="10" t="inlineStr">
        <is>
          <t>- L'activation de la fonction 'Stitch' n'a pas d'impact significatif mesurable sur la viralité finale.</t>
        </is>
      </c>
    </row>
    <row r="34">
      <c r="B34" s="11" t="inlineStr">
        <is>
          <t>Conclusion : Ne pas surpayer un créateur uniquement sur le critère de la certification.</t>
        </is>
      </c>
    </row>
    <row r="36">
      <c r="B36" s="8" t="inlineStr">
        <is>
          <t>2. PLAN D'ACTION OPÉRATIONNEL POUR LA MARQUE</t>
        </is>
      </c>
    </row>
    <row r="38">
      <c r="B38" s="11" t="inlineStr">
        <is>
          <t>1. Mix de Sélection</t>
        </is>
      </c>
      <c r="C38" s="10" t="inlineStr">
        <is>
          <t>Allouer 70% du budget influence à des profils Micro/Mid (500k - 2M followers) pour capter un fort engagement et un multiplicateur viral élevé, et 30% à 2-3 têtes d'affiche Mega pour asseoir la crédibilité institutionnelle.</t>
        </is>
      </c>
    </row>
    <row r="39">
      <c r="B39" s="11" t="inlineStr">
        <is>
          <t>2. Format Créatif</t>
        </is>
      </c>
      <c r="C39" s="10" t="inlineStr">
        <is>
          <t>Imposer dans le brief créatif une durée stricte comprise entre 10 et 15 secondes, avec le 'hook' (élément visuel d'accroche) situé dans les 2 premières secondes.</t>
        </is>
      </c>
    </row>
    <row r="40">
      <c r="B40" s="11" t="inlineStr">
        <is>
          <t>3. Stratégie Sonore</t>
        </is>
      </c>
      <c r="C40" s="10" t="inlineStr">
        <is>
          <t>Laisser les créateurs utiliser des audios originaux ou créer un meme sonore propre à la campagne, facteur clé de viralité organique.</t>
        </is>
      </c>
    </row>
    <row r="41">
      <c r="B41" s="11" t="inlineStr">
        <is>
          <t>4. Critères de Choix</t>
        </is>
      </c>
      <c r="C41" s="10" t="inlineStr">
        <is>
          <t>Sélectionner les partenaires sur leur Taux d'Engagement historique (cible &gt; 14%) et leur multiplicateur viral plutôt que sur leur compteur brut d'abonnés.</t>
        </is>
      </c>
    </row>
    <row r="43">
      <c r="B43" s="8" t="inlineStr">
        <is>
          <t>3. LIMITES DE L'ÉTUDE &amp; PÉRIMÈTRE MÉTHODOLOGIQUE</t>
        </is>
      </c>
    </row>
    <row r="45">
      <c r="B45" s="11" t="inlineStr">
        <is>
          <t>• Biais d'échantillonnage :</t>
        </is>
      </c>
      <c r="C45" s="10" t="inlineStr">
        <is>
          <t>Les données proviennent d'extractions publiques de vidéos ayant déjà atteint un seuil de popularité ('Trending' et hashtag phare). Elles ne modélisent pas les vidéos à 0 vue.</t>
        </is>
      </c>
    </row>
    <row r="46">
      <c r="B46" s="11" t="inlineStr">
        <is>
          <t>• Temporalité (2021) :</t>
        </is>
      </c>
      <c r="C46" s="10" t="inlineStr">
        <is>
          <t>Les données datent de 2021. Si les mécaniques fondamentales d'engagement restent valables, les algorithmes de rétention actuels favorisent aussi désormais les formats plus longs (&gt;1 min), non représentés ici.</t>
        </is>
      </c>
    </row>
    <row r="47">
      <c r="B47" s="11" t="inlineStr">
        <is>
          <t>• Données non-commerciales :</t>
        </is>
      </c>
      <c r="C47" s="10" t="inlineStr">
        <is>
          <t>Les interactions analysées sont organiques. Le taux de conversion réel d'une vidéo sponsorisée (code promo / clic lien) n'est pas mesurable à partir de ce crawl.</t>
        </is>
      </c>
    </row>
  </sheetData>
  <mergeCells count="39">
    <mergeCell ref="B7:C7"/>
    <mergeCell ref="B25:I25"/>
    <mergeCell ref="C39:I39"/>
    <mergeCell ref="B16:I16"/>
    <mergeCell ref="F6:G6"/>
    <mergeCell ref="B22:I22"/>
    <mergeCell ref="C38:I38"/>
    <mergeCell ref="B31:I31"/>
    <mergeCell ref="B27:I27"/>
    <mergeCell ref="F7:G7"/>
    <mergeCell ref="B12:I12"/>
    <mergeCell ref="D6:E6"/>
    <mergeCell ref="B18:I18"/>
    <mergeCell ref="B21:I21"/>
    <mergeCell ref="H6:I6"/>
    <mergeCell ref="B14:I14"/>
    <mergeCell ref="B8:C8"/>
    <mergeCell ref="F8:G8"/>
    <mergeCell ref="B13:I13"/>
    <mergeCell ref="C45:I45"/>
    <mergeCell ref="D7:E7"/>
    <mergeCell ref="H7:I7"/>
    <mergeCell ref="B34:I34"/>
    <mergeCell ref="B28:I28"/>
    <mergeCell ref="B19:I19"/>
    <mergeCell ref="C47:I47"/>
    <mergeCell ref="C41:I41"/>
    <mergeCell ref="D8:E8"/>
    <mergeCell ref="B6:C6"/>
    <mergeCell ref="B30:I30"/>
    <mergeCell ref="C40:I40"/>
    <mergeCell ref="B15:I15"/>
    <mergeCell ref="B33:I33"/>
    <mergeCell ref="B24:I24"/>
    <mergeCell ref="B20:I20"/>
    <mergeCell ref="C46:I46"/>
    <mergeCell ref="H8:I8"/>
    <mergeCell ref="B32:I32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0" customWidth="1" min="4" max="4"/>
    <col width="18" customWidth="1" min="5" max="5"/>
    <col width="16" customWidth="1" min="6" max="6"/>
    <col width="18" customWidth="1" min="7" max="7"/>
    <col width="20" customWidth="1" min="8" max="8"/>
    <col width="20" customWidth="1" min="9" max="9"/>
    <col width="15" customWidth="1" min="10" max="10"/>
    <col width="28" customWidth="1" min="11" max="11"/>
  </cols>
  <sheetData>
    <row r="2">
      <c r="B2" s="1" t="inlineStr">
        <is>
          <t>CARTOGRAPHIE DES CRÉATEURS PAR CATÉGORIE &amp; PERFORMANCE</t>
        </is>
      </c>
    </row>
    <row r="3">
      <c r="B3" s="2" t="inlineStr">
        <is>
          <t>Segmentation des créateurs analysés pour le ciblage de la campagne de marque | Données prêtes pour le Treemap</t>
        </is>
      </c>
    </row>
    <row r="5">
      <c r="B5" s="12" t="inlineStr">
        <is>
          <t>Nom Créateur</t>
        </is>
      </c>
      <c r="C5" s="12" t="inlineStr">
        <is>
          <t>Handle (@)</t>
        </is>
      </c>
      <c r="D5" s="12" t="inlineStr">
        <is>
          <t>Catégorie</t>
        </is>
      </c>
      <c r="E5" s="12" t="inlineStr">
        <is>
          <t>Segment Taille</t>
        </is>
      </c>
      <c r="F5" s="12" t="inlineStr">
        <is>
          <t>Abonnés</t>
        </is>
      </c>
      <c r="G5" s="12" t="inlineStr">
        <is>
          <t>Vues Totales (M)</t>
        </is>
      </c>
      <c r="H5" s="12" t="inlineStr">
        <is>
          <t>Taux Engagement (%)</t>
        </is>
      </c>
      <c r="I5" s="12" t="inlineStr">
        <is>
          <t>Multiplicateur Viral (x)</t>
        </is>
      </c>
      <c r="J5" s="12" t="inlineStr">
        <is>
          <t>Volume Vidéos</t>
        </is>
      </c>
      <c r="K5" s="12" t="inlineStr">
        <is>
          <t>Recommandation Agence</t>
        </is>
      </c>
    </row>
    <row r="6">
      <c r="B6" s="13" t="inlineStr">
        <is>
          <t>원정맨 WonJeong</t>
        </is>
      </c>
      <c r="C6" s="13" t="inlineStr">
        <is>
          <t>@ox_zung</t>
        </is>
      </c>
      <c r="D6" s="13" t="inlineStr">
        <is>
          <t>Humour &amp; Sketch</t>
        </is>
      </c>
      <c r="E6" s="13" t="inlineStr">
        <is>
          <t>Mega (5M+)</t>
        </is>
      </c>
      <c r="F6" s="14" t="n">
        <v>27400000</v>
      </c>
      <c r="G6" s="15" t="n">
        <v>553.9</v>
      </c>
      <c r="H6" s="16" t="n">
        <v>0.1327311027182214</v>
      </c>
      <c r="I6" s="15" t="n">
        <v>3.4</v>
      </c>
      <c r="J6" s="13" t="n">
        <v>6</v>
      </c>
      <c r="K6" s="13" t="inlineStr">
        <is>
          <t>Notoriété / Caution Marque</t>
        </is>
      </c>
    </row>
    <row r="7">
      <c r="B7" t="inlineStr">
        <is>
          <t>Samuel Grubbs</t>
        </is>
      </c>
      <c r="C7" t="inlineStr">
        <is>
          <t>@samuelgrubbs</t>
        </is>
      </c>
      <c r="D7" t="inlineStr">
        <is>
          <t>Humour &amp; Sketch</t>
        </is>
      </c>
      <c r="E7" t="inlineStr">
        <is>
          <t>Mega (5M+)</t>
        </is>
      </c>
      <c r="F7" s="17" t="n">
        <v>7900000</v>
      </c>
      <c r="G7" s="18" t="n">
        <v>489.1</v>
      </c>
      <c r="H7" s="19" t="n">
        <v>0.1540000295440173</v>
      </c>
      <c r="I7" s="18" t="n">
        <v>10.3</v>
      </c>
      <c r="J7" t="n">
        <v>6</v>
      </c>
      <c r="K7" t="inlineStr">
        <is>
          <t>Notoriété / Caution Marque</t>
        </is>
      </c>
    </row>
    <row r="8">
      <c r="B8" s="13" t="inlineStr">
        <is>
          <t>Funny Vids 2k21</t>
        </is>
      </c>
      <c r="C8" s="13" t="inlineStr">
        <is>
          <t>@funnyvids2k21</t>
        </is>
      </c>
      <c r="D8" s="13" t="inlineStr">
        <is>
          <t>Animaux &amp; Pets</t>
        </is>
      </c>
      <c r="E8" s="13" t="inlineStr">
        <is>
          <t>Mid/Macro (1M-5M)</t>
        </is>
      </c>
      <c r="F8" s="14" t="n">
        <v>4200000</v>
      </c>
      <c r="G8" s="15" t="n">
        <v>310.1</v>
      </c>
      <c r="H8" s="16" t="n">
        <v>0.1173799958418611</v>
      </c>
      <c r="I8" s="15" t="n">
        <v>36.9</v>
      </c>
      <c r="J8" s="13" t="n">
        <v>2</v>
      </c>
      <c r="K8" s="13" t="inlineStr">
        <is>
          <t>Engagement Communautaire</t>
        </is>
      </c>
    </row>
    <row r="9">
      <c r="B9" t="inlineStr">
        <is>
          <t>British Promise Cats</t>
        </is>
      </c>
      <c r="C9" t="inlineStr">
        <is>
          <t>@britishpromise.cats</t>
        </is>
      </c>
      <c r="D9" t="inlineStr">
        <is>
          <t>Animaux &amp; Pets</t>
        </is>
      </c>
      <c r="E9" t="inlineStr">
        <is>
          <t>Mid/Macro (1M-5M)</t>
        </is>
      </c>
      <c r="F9" s="17" t="n">
        <v>3100000</v>
      </c>
      <c r="G9" s="18" t="n">
        <v>280.9</v>
      </c>
      <c r="H9" s="19" t="n">
        <v>0.1380416518333927</v>
      </c>
      <c r="I9" s="18" t="n">
        <v>90.59999999999999</v>
      </c>
      <c r="J9" t="n">
        <v>1</v>
      </c>
      <c r="K9" t="inlineStr">
        <is>
          <t>Engagement Communautaire</t>
        </is>
      </c>
    </row>
    <row r="10">
      <c r="B10" s="13" t="inlineStr">
        <is>
          <t>CS99TV</t>
        </is>
      </c>
      <c r="C10" s="13" t="inlineStr">
        <is>
          <t>@cs99tv</t>
        </is>
      </c>
      <c r="D10" s="13" t="inlineStr">
        <is>
          <t>Sports &amp; Gaming</t>
        </is>
      </c>
      <c r="E10" s="13" t="inlineStr">
        <is>
          <t>Mid/Macro (1M-5M)</t>
        </is>
      </c>
      <c r="F10" s="14" t="n">
        <v>2300000</v>
      </c>
      <c r="G10" s="15" t="n">
        <v>192.4</v>
      </c>
      <c r="H10" s="16" t="n">
        <v>0.09160639932098523</v>
      </c>
      <c r="I10" s="15" t="n">
        <v>41.8</v>
      </c>
      <c r="J10" s="13" t="n">
        <v>2</v>
      </c>
      <c r="K10" s="13" t="inlineStr">
        <is>
          <t>Engagement Communautaire</t>
        </is>
      </c>
    </row>
    <row r="11">
      <c r="B11" t="inlineStr">
        <is>
          <t>Arshdeep Soni</t>
        </is>
      </c>
      <c r="C11" t="inlineStr">
        <is>
          <t>@arshsoni</t>
        </is>
      </c>
      <c r="D11" t="inlineStr">
        <is>
          <t>Talents &amp; Créativité</t>
        </is>
      </c>
      <c r="E11" t="inlineStr">
        <is>
          <t>Mega (5M+)</t>
        </is>
      </c>
      <c r="F11" s="17" t="n">
        <v>9100000</v>
      </c>
      <c r="G11" s="18" t="n">
        <v>182</v>
      </c>
      <c r="H11" s="19" t="n">
        <v>0.09864630990832357</v>
      </c>
      <c r="I11" s="18" t="n">
        <v>10</v>
      </c>
      <c r="J11" t="n">
        <v>2</v>
      </c>
      <c r="K11" t="inlineStr">
        <is>
          <t>Notoriété / Caution Marque</t>
        </is>
      </c>
    </row>
    <row r="12">
      <c r="B12" s="13" t="inlineStr">
        <is>
          <t>Семья Полиенко</t>
        </is>
      </c>
      <c r="C12" s="13" t="inlineStr">
        <is>
          <t>@pol.fam</t>
        </is>
      </c>
      <c r="D12" s="13" t="inlineStr">
        <is>
          <t>Animaux &amp; Pets</t>
        </is>
      </c>
      <c r="E12" s="13" t="inlineStr">
        <is>
          <t>Mid/Macro (1M-5M)</t>
        </is>
      </c>
      <c r="F12" s="14" t="n">
        <v>1500000</v>
      </c>
      <c r="G12" s="15" t="n">
        <v>161.3</v>
      </c>
      <c r="H12" s="16" t="n">
        <v>0.04264290142591445</v>
      </c>
      <c r="I12" s="15" t="n">
        <v>107.5</v>
      </c>
      <c r="J12" s="13" t="n">
        <v>1</v>
      </c>
      <c r="K12" s="13" t="inlineStr">
        <is>
          <t>Engagement Communautaire</t>
        </is>
      </c>
    </row>
    <row r="13">
      <c r="B13" t="inlineStr">
        <is>
          <t>Vũ Diệu Thuý</t>
        </is>
      </c>
      <c r="C13" t="inlineStr">
        <is>
          <t>@vudieuthuy91</t>
        </is>
      </c>
      <c r="D13" t="inlineStr">
        <is>
          <t>Humour &amp; Sketch</t>
        </is>
      </c>
      <c r="E13" t="inlineStr">
        <is>
          <t>Mid/Macro (1M-5M)</t>
        </is>
      </c>
      <c r="F13" s="17" t="n">
        <v>1900000</v>
      </c>
      <c r="G13" s="18" t="n">
        <v>142.9</v>
      </c>
      <c r="H13" s="19" t="n">
        <v>0.05502729181245626</v>
      </c>
      <c r="I13" s="18" t="n">
        <v>75.2</v>
      </c>
      <c r="J13" t="n">
        <v>1</v>
      </c>
      <c r="K13" t="inlineStr">
        <is>
          <t>Engagement Communautaire</t>
        </is>
      </c>
    </row>
    <row r="14">
      <c r="B14" s="13" t="inlineStr">
        <is>
          <t>Relaxed Bryan</t>
        </is>
      </c>
      <c r="C14" s="13" t="inlineStr">
        <is>
          <t>@relaxedbryan</t>
        </is>
      </c>
      <c r="D14" s="13" t="inlineStr">
        <is>
          <t>Famille &amp; Couple</t>
        </is>
      </c>
      <c r="E14" s="13" t="inlineStr">
        <is>
          <t>Mid/Macro (1M-5M)</t>
        </is>
      </c>
      <c r="F14" s="14" t="n">
        <v>1900000</v>
      </c>
      <c r="G14" s="15" t="n">
        <v>142</v>
      </c>
      <c r="H14" s="16" t="n">
        <v>0.05897887323943662</v>
      </c>
      <c r="I14" s="15" t="n">
        <v>74.7</v>
      </c>
      <c r="J14" s="13" t="n">
        <v>1</v>
      </c>
      <c r="K14" s="13" t="inlineStr">
        <is>
          <t>Engagement Communautaire</t>
        </is>
      </c>
    </row>
    <row r="15">
      <c r="B15" t="inlineStr">
        <is>
          <t>Manuel Mercuri</t>
        </is>
      </c>
      <c r="C15" t="inlineStr">
        <is>
          <t>@mercuri_88</t>
        </is>
      </c>
      <c r="D15" t="inlineStr">
        <is>
          <t>Famille &amp; Couple</t>
        </is>
      </c>
      <c r="E15" t="inlineStr">
        <is>
          <t>Mega (5M+)</t>
        </is>
      </c>
      <c r="F15" s="17" t="n">
        <v>14500000</v>
      </c>
      <c r="G15" s="18" t="n">
        <v>135.4</v>
      </c>
      <c r="H15" s="19" t="n">
        <v>0.1394834951950417</v>
      </c>
      <c r="I15" s="18" t="n">
        <v>4.7</v>
      </c>
      <c r="J15" t="n">
        <v>2</v>
      </c>
      <c r="K15" t="inlineStr">
        <is>
          <t>Notoriété / Caution Marque</t>
        </is>
      </c>
    </row>
    <row r="16">
      <c r="B16" s="13" t="inlineStr">
        <is>
          <t xml:space="preserve">@Jordi.koalitic </t>
        </is>
      </c>
      <c r="C16" s="13" t="inlineStr">
        <is>
          <t>@jordi.koalitic</t>
        </is>
      </c>
      <c r="D16" s="13" t="inlineStr">
        <is>
          <t>Talents &amp; Créativité</t>
        </is>
      </c>
      <c r="E16" s="13" t="inlineStr">
        <is>
          <t>Mega (5M+)</t>
        </is>
      </c>
      <c r="F16" s="14" t="n">
        <v>19700000</v>
      </c>
      <c r="G16" s="15" t="n">
        <v>129.8</v>
      </c>
      <c r="H16" s="16" t="n">
        <v>0.1283246428710066</v>
      </c>
      <c r="I16" s="15" t="n">
        <v>3.3</v>
      </c>
      <c r="J16" s="13" t="n">
        <v>2</v>
      </c>
      <c r="K16" s="13" t="inlineStr">
        <is>
          <t>Notoriété / Caution Marque</t>
        </is>
      </c>
    </row>
    <row r="17">
      <c r="B17" t="inlineStr">
        <is>
          <t>솔이</t>
        </is>
      </c>
      <c r="C17" t="inlineStr">
        <is>
          <t>@jinsol_oh</t>
        </is>
      </c>
      <c r="D17" t="inlineStr">
        <is>
          <t>Famille &amp; Couple</t>
        </is>
      </c>
      <c r="E17" t="inlineStr">
        <is>
          <t>Mid/Macro (1M-5M)</t>
        </is>
      </c>
      <c r="F17" s="17" t="n">
        <v>4400000</v>
      </c>
      <c r="G17" s="18" t="n">
        <v>128.4</v>
      </c>
      <c r="H17" s="19" t="n">
        <v>0.1823591608148252</v>
      </c>
      <c r="I17" s="18" t="n">
        <v>9.699999999999999</v>
      </c>
      <c r="J17" t="n">
        <v>3</v>
      </c>
      <c r="K17" t="inlineStr">
        <is>
          <t>Engagement Communautaire</t>
        </is>
      </c>
    </row>
    <row r="18">
      <c r="B18" s="13" t="inlineStr">
        <is>
          <t>Samuel Grubbs</t>
        </is>
      </c>
      <c r="C18" s="13" t="inlineStr">
        <is>
          <t>@samuelgrubbs</t>
        </is>
      </c>
      <c r="D18" s="13" t="inlineStr">
        <is>
          <t>Talents &amp; Créativité</t>
        </is>
      </c>
      <c r="E18" s="13" t="inlineStr">
        <is>
          <t>Mega (5M+)</t>
        </is>
      </c>
      <c r="F18" s="14" t="n">
        <v>7900000</v>
      </c>
      <c r="G18" s="15" t="n">
        <v>127.1</v>
      </c>
      <c r="H18" s="16" t="n">
        <v>0.1527364828783991</v>
      </c>
      <c r="I18" s="15" t="n">
        <v>8</v>
      </c>
      <c r="J18" s="13" t="n">
        <v>2</v>
      </c>
      <c r="K18" s="13" t="inlineStr">
        <is>
          <t>Notoriété / Caution Marque</t>
        </is>
      </c>
    </row>
    <row r="19">
      <c r="B19" t="inlineStr">
        <is>
          <t>Vinay Narula ❤</t>
        </is>
      </c>
      <c r="C19" t="inlineStr">
        <is>
          <t>@samayranarula</t>
        </is>
      </c>
      <c r="D19" t="inlineStr">
        <is>
          <t>Humour &amp; Sketch</t>
        </is>
      </c>
      <c r="E19" t="inlineStr">
        <is>
          <t>Mid/Macro (1M-5M)</t>
        </is>
      </c>
      <c r="F19" s="17" t="n">
        <v>4500000</v>
      </c>
      <c r="G19" s="18" t="n">
        <v>123.2</v>
      </c>
      <c r="H19" s="19" t="n">
        <v>0.06956574675324675</v>
      </c>
      <c r="I19" s="18" t="n">
        <v>27.4</v>
      </c>
      <c r="J19" t="n">
        <v>1</v>
      </c>
      <c r="K19" t="inlineStr">
        <is>
          <t>Engagement Communautaire</t>
        </is>
      </c>
    </row>
    <row r="20">
      <c r="B20" s="13" t="inlineStr">
        <is>
          <t>Jhoan Roa</t>
        </is>
      </c>
      <c r="C20" s="13" t="inlineStr">
        <is>
          <t>@jhoan.roa</t>
        </is>
      </c>
      <c r="D20" s="13" t="inlineStr">
        <is>
          <t>Humour &amp; Sketch</t>
        </is>
      </c>
      <c r="E20" s="13" t="inlineStr">
        <is>
          <t>Micro/Nano (&lt;1M)</t>
        </is>
      </c>
      <c r="F20" s="14" t="n">
        <v>946600</v>
      </c>
      <c r="G20" s="15" t="n">
        <v>110.5</v>
      </c>
      <c r="H20" s="16" t="n">
        <v>0.1292117647058824</v>
      </c>
      <c r="I20" s="15" t="n">
        <v>116.7</v>
      </c>
      <c r="J20" s="13" t="n">
        <v>1</v>
      </c>
      <c r="K20" s="13" t="inlineStr">
        <is>
          <t>Engagement Communautaire</t>
        </is>
      </c>
    </row>
    <row r="21">
      <c r="B21" t="inlineStr">
        <is>
          <t>Kitty cat｜Kucing</t>
        </is>
      </c>
      <c r="C21" t="inlineStr">
        <is>
          <t>@cat_kitty66</t>
        </is>
      </c>
      <c r="D21" t="inlineStr">
        <is>
          <t>Animaux &amp; Pets</t>
        </is>
      </c>
      <c r="E21" t="inlineStr">
        <is>
          <t>Mid/Macro (1M-5M)</t>
        </is>
      </c>
      <c r="F21" s="17" t="n">
        <v>2700000</v>
      </c>
      <c r="G21" s="18" t="n">
        <v>108.1</v>
      </c>
      <c r="H21" s="19" t="n">
        <v>0.1432960222016651</v>
      </c>
      <c r="I21" s="18" t="n">
        <v>40</v>
      </c>
      <c r="J21" t="n">
        <v>1</v>
      </c>
      <c r="K21" t="inlineStr">
        <is>
          <t>Engagement Communautaire</t>
        </is>
      </c>
    </row>
    <row r="22">
      <c r="B22" s="13" t="inlineStr">
        <is>
          <t>Dilkash Dhany Ramnauth</t>
        </is>
      </c>
      <c r="C22" s="13" t="inlineStr">
        <is>
          <t>@tizilwa</t>
        </is>
      </c>
      <c r="D22" s="13" t="inlineStr">
        <is>
          <t>Humour &amp; Sketch</t>
        </is>
      </c>
      <c r="E22" s="13" t="inlineStr">
        <is>
          <t>Mid/Macro (1M-5M)</t>
        </is>
      </c>
      <c r="F22" s="14" t="n">
        <v>1300000</v>
      </c>
      <c r="G22" s="15" t="n">
        <v>102</v>
      </c>
      <c r="H22" s="16" t="n">
        <v>0.08027450980392156</v>
      </c>
      <c r="I22" s="15" t="n">
        <v>78.5</v>
      </c>
      <c r="J22" s="13" t="n">
        <v>1</v>
      </c>
      <c r="K22" s="13" t="inlineStr">
        <is>
          <t>Engagement Communautaire</t>
        </is>
      </c>
    </row>
    <row r="23">
      <c r="B23" t="inlineStr">
        <is>
          <t>Khaleesi</t>
        </is>
      </c>
      <c r="C23" t="inlineStr">
        <is>
          <t>@thekhaleesicat</t>
        </is>
      </c>
      <c r="D23" t="inlineStr">
        <is>
          <t>Animaux &amp; Pets</t>
        </is>
      </c>
      <c r="E23" t="inlineStr">
        <is>
          <t>Mid/Macro (1M-5M)</t>
        </is>
      </c>
      <c r="F23" s="17" t="n">
        <v>1100000</v>
      </c>
      <c r="G23" s="18" t="n">
        <v>100.6</v>
      </c>
      <c r="H23" s="19" t="n">
        <v>0.08418290258449304</v>
      </c>
      <c r="I23" s="18" t="n">
        <v>91.5</v>
      </c>
      <c r="J23" t="n">
        <v>1</v>
      </c>
      <c r="K23" t="inlineStr">
        <is>
          <t>Engagement Communautaire</t>
        </is>
      </c>
    </row>
    <row r="24">
      <c r="B24" s="13" t="inlineStr">
        <is>
          <t>Bandit the Raccoon</t>
        </is>
      </c>
      <c r="C24" s="13" t="inlineStr">
        <is>
          <t>@banditthecoon</t>
        </is>
      </c>
      <c r="D24" s="13" t="inlineStr">
        <is>
          <t>Animaux &amp; Pets</t>
        </is>
      </c>
      <c r="E24" s="13" t="inlineStr">
        <is>
          <t>Mid/Macro (1M-5M)</t>
        </is>
      </c>
      <c r="F24" s="14" t="n">
        <v>1400000</v>
      </c>
      <c r="G24" s="15" t="n">
        <v>98.5</v>
      </c>
      <c r="H24" s="16" t="n">
        <v>0.1922903553299492</v>
      </c>
      <c r="I24" s="15" t="n">
        <v>70.40000000000001</v>
      </c>
      <c r="J24" s="13" t="n">
        <v>1</v>
      </c>
      <c r="K24" s="13" t="inlineStr">
        <is>
          <t>★ Pépite Virale (Fort ROI)</t>
        </is>
      </c>
    </row>
    <row r="25">
      <c r="B25" t="inlineStr">
        <is>
          <t>Celiajunguito</t>
        </is>
      </c>
      <c r="C25" t="inlineStr">
        <is>
          <t>@celiajunguito1</t>
        </is>
      </c>
      <c r="D25" t="inlineStr">
        <is>
          <t>Humour &amp; Sketch</t>
        </is>
      </c>
      <c r="E25" t="inlineStr">
        <is>
          <t>Micro/Nano (&lt;1M)</t>
        </is>
      </c>
      <c r="F25" s="17" t="n">
        <v>398400</v>
      </c>
      <c r="G25" s="18" t="n">
        <v>97.2</v>
      </c>
      <c r="H25" s="19" t="n">
        <v>0.07933230452674897</v>
      </c>
      <c r="I25" s="18" t="n">
        <v>244</v>
      </c>
      <c r="J25" t="n">
        <v>1</v>
      </c>
      <c r="K25" t="inlineStr">
        <is>
          <t>Engagement Communautaire</t>
        </is>
      </c>
    </row>
    <row r="26">
      <c r="B26" s="13" t="inlineStr">
        <is>
          <t>DADDY MING 🦁</t>
        </is>
      </c>
      <c r="C26" s="13" t="inlineStr">
        <is>
          <t>@daddyming</t>
        </is>
      </c>
      <c r="D26" s="13" t="inlineStr">
        <is>
          <t>Famille &amp; Couple</t>
        </is>
      </c>
      <c r="E26" s="13" t="inlineStr">
        <is>
          <t>Mega (5M+)</t>
        </is>
      </c>
      <c r="F26" s="14" t="n">
        <v>8700000</v>
      </c>
      <c r="G26" s="15" t="n">
        <v>88.2</v>
      </c>
      <c r="H26" s="16" t="n">
        <v>0.09987074829931973</v>
      </c>
      <c r="I26" s="15" t="n">
        <v>10.1</v>
      </c>
      <c r="J26" s="13" t="n">
        <v>1</v>
      </c>
      <c r="K26" s="13" t="inlineStr">
        <is>
          <t>Notoriété / Caution Marque</t>
        </is>
      </c>
    </row>
    <row r="27">
      <c r="B27" t="inlineStr">
        <is>
          <t>Kirya Kolesnikov</t>
        </is>
      </c>
      <c r="C27" t="inlineStr">
        <is>
          <t>@thekiryalife</t>
        </is>
      </c>
      <c r="D27" t="inlineStr">
        <is>
          <t>Talents &amp; Créativité</t>
        </is>
      </c>
      <c r="E27" t="inlineStr">
        <is>
          <t>Mega (5M+)</t>
        </is>
      </c>
      <c r="F27" s="17" t="n">
        <v>33200000</v>
      </c>
      <c r="G27" s="18" t="n">
        <v>82.3</v>
      </c>
      <c r="H27" s="19" t="n">
        <v>0.0865820170109356</v>
      </c>
      <c r="I27" s="18" t="n">
        <v>2.5</v>
      </c>
      <c r="J27" t="n">
        <v>1</v>
      </c>
      <c r="K27" t="inlineStr">
        <is>
          <t>Notoriété / Caution Marque</t>
        </is>
      </c>
    </row>
    <row r="28">
      <c r="B28" s="13" t="inlineStr">
        <is>
          <t xml:space="preserve">lastMinute_21 </t>
        </is>
      </c>
      <c r="C28" s="13" t="inlineStr">
        <is>
          <t>@lastminute_21</t>
        </is>
      </c>
      <c r="D28" s="13" t="inlineStr">
        <is>
          <t>Talents &amp; Créativité</t>
        </is>
      </c>
      <c r="E28" s="13" t="inlineStr">
        <is>
          <t>Mid/Macro (1M-5M)</t>
        </is>
      </c>
      <c r="F28" s="14" t="n">
        <v>4500000</v>
      </c>
      <c r="G28" s="15" t="n">
        <v>79.40000000000001</v>
      </c>
      <c r="H28" s="16" t="n">
        <v>0.09057803526448364</v>
      </c>
      <c r="I28" s="15" t="n">
        <v>17.6</v>
      </c>
      <c r="J28" s="13" t="n">
        <v>1</v>
      </c>
      <c r="K28" s="13" t="inlineStr">
        <is>
          <t>Engagement Communautaire</t>
        </is>
      </c>
    </row>
    <row r="29">
      <c r="B29" t="inlineStr">
        <is>
          <t>Charlie</t>
        </is>
      </c>
      <c r="C29" t="inlineStr">
        <is>
          <t>@charliethechipmunk</t>
        </is>
      </c>
      <c r="D29" t="inlineStr">
        <is>
          <t>Humour &amp; Sketch</t>
        </is>
      </c>
      <c r="E29" t="inlineStr">
        <is>
          <t>Mid/Macro (1M-5M)</t>
        </is>
      </c>
      <c r="F29" s="17" t="n">
        <v>2400000</v>
      </c>
      <c r="G29" s="18" t="n">
        <v>77</v>
      </c>
      <c r="H29" s="19" t="n">
        <v>0.1064285714285714</v>
      </c>
      <c r="I29" s="18" t="n">
        <v>32.1</v>
      </c>
      <c r="J29" t="n">
        <v>1</v>
      </c>
      <c r="K29" t="inlineStr">
        <is>
          <t>Engagement Communautaire</t>
        </is>
      </c>
    </row>
    <row r="30">
      <c r="B30" s="13" t="inlineStr">
        <is>
          <t>crinka</t>
        </is>
      </c>
      <c r="C30" s="13" t="inlineStr">
        <is>
          <t>@crinka11</t>
        </is>
      </c>
      <c r="D30" s="13" t="inlineStr">
        <is>
          <t>Humour &amp; Sketch</t>
        </is>
      </c>
      <c r="E30" s="13" t="inlineStr">
        <is>
          <t>Mid/Macro (1M-5M)</t>
        </is>
      </c>
      <c r="F30" s="14" t="n">
        <v>1300000</v>
      </c>
      <c r="G30" s="15" t="n">
        <v>73.59999999999999</v>
      </c>
      <c r="H30" s="16" t="n">
        <v>0.2087255434782609</v>
      </c>
      <c r="I30" s="15" t="n">
        <v>56.6</v>
      </c>
      <c r="J30" s="13" t="n">
        <v>1</v>
      </c>
      <c r="K30" s="13" t="inlineStr">
        <is>
          <t>★ Pépite Virale (Fort ROI)</t>
        </is>
      </c>
    </row>
    <row r="31">
      <c r="B31" t="inlineStr">
        <is>
          <t>SERGIO CENTENO JACKSON 🇨🇴</t>
        </is>
      </c>
      <c r="C31" t="inlineStr">
        <is>
          <t>@sergiocentenojackson</t>
        </is>
      </c>
      <c r="D31" t="inlineStr">
        <is>
          <t>Sports &amp; Gaming</t>
        </is>
      </c>
      <c r="E31" t="inlineStr">
        <is>
          <t>Micro/Nano (&lt;1M)</t>
        </is>
      </c>
      <c r="F31" s="17" t="n">
        <v>547000</v>
      </c>
      <c r="G31" s="18" t="n">
        <v>71.2</v>
      </c>
      <c r="H31" s="19" t="n">
        <v>0.1584817415730337</v>
      </c>
      <c r="I31" s="18" t="n">
        <v>130.2</v>
      </c>
      <c r="J31" t="n">
        <v>1</v>
      </c>
      <c r="K31" t="inlineStr">
        <is>
          <t>★ Pépite Virale (Fort ROI)</t>
        </is>
      </c>
    </row>
    <row r="32">
      <c r="B32" s="13" t="inlineStr">
        <is>
          <t>Wee</t>
        </is>
      </c>
      <c r="C32" s="13" t="inlineStr">
        <is>
          <t>@daily.wee</t>
        </is>
      </c>
      <c r="D32" s="13" t="inlineStr">
        <is>
          <t>Animaux &amp; Pets</t>
        </is>
      </c>
      <c r="E32" s="13" t="inlineStr">
        <is>
          <t>Mid/Macro (1M-5M)</t>
        </is>
      </c>
      <c r="F32" s="14" t="n">
        <v>1800000</v>
      </c>
      <c r="G32" s="15" t="n">
        <v>70.7</v>
      </c>
      <c r="H32" s="16" t="n">
        <v>0.1035785007072136</v>
      </c>
      <c r="I32" s="15" t="n">
        <v>39.3</v>
      </c>
      <c r="J32" s="13" t="n">
        <v>1</v>
      </c>
      <c r="K32" s="13" t="inlineStr">
        <is>
          <t>Engagement Communautaire</t>
        </is>
      </c>
    </row>
    <row r="33">
      <c r="B33" t="inlineStr">
        <is>
          <t>onlee1momo</t>
        </is>
      </c>
      <c r="C33" t="inlineStr">
        <is>
          <t>@onlee1momo</t>
        </is>
      </c>
      <c r="D33" t="inlineStr">
        <is>
          <t>Famille &amp; Couple</t>
        </is>
      </c>
      <c r="E33" t="inlineStr">
        <is>
          <t>Micro/Nano (&lt;1M)</t>
        </is>
      </c>
      <c r="F33" s="17" t="n">
        <v>362600</v>
      </c>
      <c r="G33" s="18" t="n">
        <v>66</v>
      </c>
      <c r="H33" s="19" t="n">
        <v>0.1680060606060606</v>
      </c>
      <c r="I33" s="18" t="n">
        <v>182</v>
      </c>
      <c r="J33" t="n">
        <v>1</v>
      </c>
      <c r="K33" t="inlineStr">
        <is>
          <t>★ Pépite Virale (Fort ROI)</t>
        </is>
      </c>
    </row>
    <row r="34">
      <c r="B34" s="13" t="inlineStr">
        <is>
          <t>Glen cooney</t>
        </is>
      </c>
      <c r="C34" s="13" t="inlineStr">
        <is>
          <t>@this.tourettes.guy</t>
        </is>
      </c>
      <c r="D34" s="13" t="inlineStr">
        <is>
          <t>Famille &amp; Couple</t>
        </is>
      </c>
      <c r="E34" s="13" t="inlineStr">
        <is>
          <t>Mid/Macro (1M-5M)</t>
        </is>
      </c>
      <c r="F34" s="14" t="n">
        <v>3500000</v>
      </c>
      <c r="G34" s="15" t="n">
        <v>65.90000000000001</v>
      </c>
      <c r="H34" s="16" t="n">
        <v>0.1838694992412747</v>
      </c>
      <c r="I34" s="15" t="n">
        <v>18.8</v>
      </c>
      <c r="J34" s="13" t="n">
        <v>1</v>
      </c>
      <c r="K34" s="13" t="inlineStr">
        <is>
          <t>Engagement Communautaire</t>
        </is>
      </c>
    </row>
    <row r="35">
      <c r="B35" t="inlineStr">
        <is>
          <t>🌬💨𝕚𝕓𝕔_𝕜𝕚𝕕✪🕳</t>
        </is>
      </c>
      <c r="C35" t="inlineStr">
        <is>
          <t>@ibc_kid</t>
        </is>
      </c>
      <c r="D35" t="inlineStr">
        <is>
          <t>Famille &amp; Couple</t>
        </is>
      </c>
      <c r="E35" t="inlineStr">
        <is>
          <t>Micro/Nano (&lt;1M)</t>
        </is>
      </c>
      <c r="F35" s="17" t="n">
        <v>933700</v>
      </c>
      <c r="G35" s="18" t="n">
        <v>63.7</v>
      </c>
      <c r="H35" s="19" t="n">
        <v>0.1643736263736263</v>
      </c>
      <c r="I35" s="18" t="n">
        <v>68.2</v>
      </c>
      <c r="J35" t="n">
        <v>1</v>
      </c>
      <c r="K35" t="inlineStr">
        <is>
          <t>★ Pépite Virale (Fort ROI)</t>
        </is>
      </c>
    </row>
    <row r="38">
      <c r="B38" s="8" t="inlineStr">
        <is>
          <t>SYNTHÈSE POUR LE TREEMAP CLIENT (Taille = Vues, Couleur = Catégorie)</t>
        </is>
      </c>
    </row>
    <row r="40">
      <c r="B40" s="20" t="inlineStr">
        <is>
          <t>Catégorie de Contenu</t>
        </is>
      </c>
      <c r="C40" s="20" t="inlineStr">
        <is>
          <t>Vues Totales (M)</t>
        </is>
      </c>
      <c r="D40" s="20" t="inlineStr">
        <is>
          <t>Vues Moyennes / Vidéo (M)</t>
        </is>
      </c>
      <c r="E40" s="20" t="inlineStr">
        <is>
          <t>Taux Engagement Médian (%)</t>
        </is>
      </c>
      <c r="F40" s="20" t="inlineStr">
        <is>
          <t>Nombre de Créateurs</t>
        </is>
      </c>
    </row>
    <row r="41">
      <c r="B41" s="11" t="inlineStr">
        <is>
          <t>Humour &amp; Sketch</t>
        </is>
      </c>
      <c r="C41" s="18" t="n">
        <v>2795.4</v>
      </c>
      <c r="D41" s="18" t="n">
        <v>66.59999999999999</v>
      </c>
      <c r="E41" s="19" t="n">
        <v>0.1840211655288184</v>
      </c>
      <c r="F41" s="21" t="n">
        <v>32</v>
      </c>
    </row>
    <row r="42">
      <c r="B42" s="11" t="inlineStr">
        <is>
          <t>Animaux &amp; Pets</t>
        </is>
      </c>
      <c r="C42" s="18" t="n">
        <v>1397.3</v>
      </c>
      <c r="D42" s="18" t="n">
        <v>99.8</v>
      </c>
      <c r="E42" s="19" t="n">
        <v>0.1545654963660585</v>
      </c>
      <c r="F42" s="21" t="n">
        <v>13</v>
      </c>
    </row>
    <row r="43">
      <c r="B43" s="11" t="inlineStr">
        <is>
          <t>Famille &amp; Couple</t>
        </is>
      </c>
      <c r="C43" s="18" t="n">
        <v>1140</v>
      </c>
      <c r="D43" s="18" t="n">
        <v>60</v>
      </c>
      <c r="E43" s="19" t="n">
        <v>0.1549487632508834</v>
      </c>
      <c r="F43" s="21" t="n">
        <v>16</v>
      </c>
    </row>
    <row r="44">
      <c r="B44" s="11" t="inlineStr">
        <is>
          <t>Talents &amp; Créativité</t>
        </is>
      </c>
      <c r="C44" s="18" t="n">
        <v>1006</v>
      </c>
      <c r="D44" s="18" t="n">
        <v>59.2</v>
      </c>
      <c r="E44" s="19" t="n">
        <v>0.1507843942505133</v>
      </c>
      <c r="F44" s="21" t="n">
        <v>14</v>
      </c>
    </row>
    <row r="45">
      <c r="B45" s="11" t="inlineStr">
        <is>
          <t>Sports &amp; Gaming</t>
        </is>
      </c>
      <c r="C45" s="18" t="n">
        <v>498.2</v>
      </c>
      <c r="D45" s="18" t="n">
        <v>62.3</v>
      </c>
      <c r="E45" s="19" t="n">
        <v>0.1500430796218582</v>
      </c>
      <c r="F45" s="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8" customWidth="1" min="4" max="4"/>
    <col width="20" customWidth="1" min="5" max="5"/>
    <col width="20" customWidth="1" min="6" max="6"/>
    <col width="25" customWidth="1" min="7" max="7"/>
    <col width="28" customWidth="1" min="8" max="8"/>
    <col width="4" customWidth="1" min="9" max="9"/>
  </cols>
  <sheetData>
    <row r="2">
      <c r="B2" s="1" t="inlineStr">
        <is>
          <t>ANALYSES FACTORIELLES DES LEVIERS DE PERFORMANCE</t>
        </is>
      </c>
    </row>
    <row r="3">
      <c r="B3" s="2" t="inlineStr">
        <is>
          <t>Décomposition quantitative : ce que le créateur contrôle vs ce qu'il subit</t>
        </is>
      </c>
    </row>
    <row r="5">
      <c r="B5" s="8" t="inlineStr">
        <is>
          <t>1. PERFORMANCE PAR TAILLE DE COMPTE (Réponse à l'objection du manager)</t>
        </is>
      </c>
    </row>
    <row r="7">
      <c r="B7" s="12" t="inlineStr">
        <is>
          <t>Segment d'Audience</t>
        </is>
      </c>
      <c r="C7" s="12" t="inlineStr">
        <is>
          <t>Nb Vidéos</t>
        </is>
      </c>
      <c r="D7" s="12" t="inlineStr">
        <is>
          <t>Abonnés Médian</t>
        </is>
      </c>
      <c r="E7" s="12" t="inlineStr">
        <is>
          <t>Vues Moyennes (M)</t>
        </is>
      </c>
      <c r="F7" s="12" t="inlineStr">
        <is>
          <t>Vues Médianes (M)</t>
        </is>
      </c>
      <c r="G7" s="12" t="inlineStr">
        <is>
          <t>Taux Engagement Médian (%)</t>
        </is>
      </c>
      <c r="H7" s="12" t="inlineStr">
        <is>
          <t>Multiplicateur Viral Médian (x)</t>
        </is>
      </c>
    </row>
    <row r="8">
      <c r="B8" s="11" t="inlineStr">
        <is>
          <t>Micro/Nano (&lt;1M)</t>
        </is>
      </c>
      <c r="C8" s="21" t="n">
        <v>29</v>
      </c>
      <c r="D8" s="17" t="n">
        <v>475800</v>
      </c>
      <c r="E8" s="18" t="n">
        <v>50.8</v>
      </c>
      <c r="F8" s="18" t="n">
        <v>48.1</v>
      </c>
      <c r="G8" s="19" t="n">
        <v>0.1935130208333333</v>
      </c>
      <c r="H8" s="18" t="n">
        <v>106.9</v>
      </c>
    </row>
    <row r="9">
      <c r="B9" s="11" t="inlineStr">
        <is>
          <t>Mid/Macro (1M-5M)</t>
        </is>
      </c>
      <c r="C9" s="21" t="n">
        <v>35</v>
      </c>
      <c r="D9" s="17" t="n">
        <v>2300000</v>
      </c>
      <c r="E9" s="18" t="n">
        <v>82.59999999999999</v>
      </c>
      <c r="F9" s="18" t="n">
        <v>65.90000000000001</v>
      </c>
      <c r="G9" s="19" t="n">
        <v>0.1432960222016651</v>
      </c>
      <c r="H9" s="18" t="n">
        <v>27.4</v>
      </c>
    </row>
    <row r="10">
      <c r="B10" s="11" t="inlineStr">
        <is>
          <t>Mega (5M+)</t>
        </is>
      </c>
      <c r="C10" s="21" t="n">
        <v>36</v>
      </c>
      <c r="D10" s="17" t="n">
        <v>8700000</v>
      </c>
      <c r="E10" s="18" t="n">
        <v>68.7</v>
      </c>
      <c r="F10" s="18" t="n">
        <v>56</v>
      </c>
      <c r="G10" s="19" t="n">
        <v>0.152427316486807</v>
      </c>
      <c r="H10" s="18" t="n">
        <v>6.1</v>
      </c>
    </row>
    <row r="13">
      <c r="B13" s="8" t="inlineStr">
        <is>
          <t>2. IMPACT DE LA DURÉE DU CONTENU (Facteur contrôlable n°1)</t>
        </is>
      </c>
    </row>
    <row r="15">
      <c r="B15" s="20" t="inlineStr">
        <is>
          <t>Format de Durée</t>
        </is>
      </c>
      <c r="C15" s="20" t="inlineStr">
        <is>
          <t>Nb Vidéos</t>
        </is>
      </c>
      <c r="D15" s="20" t="inlineStr">
        <is>
          <t>Vues Moyennes (M)</t>
        </is>
      </c>
      <c r="E15" s="20" t="inlineStr">
        <is>
          <t>Vues Médianes (M)</t>
        </is>
      </c>
      <c r="F15" s="20" t="inlineStr">
        <is>
          <t>ER Moyen (%)</t>
        </is>
      </c>
      <c r="G15" s="20" t="inlineStr">
        <is>
          <t>ER Médian (%)</t>
        </is>
      </c>
    </row>
    <row r="16">
      <c r="B16" s="11" t="inlineStr">
        <is>
          <t>Format Court (&lt;=15s)</t>
        </is>
      </c>
      <c r="C16" s="21" t="n">
        <v>45</v>
      </c>
      <c r="D16" s="18" t="n">
        <v>75.8</v>
      </c>
      <c r="E16" s="18" t="n">
        <v>59.4</v>
      </c>
      <c r="F16" s="19" t="n">
        <v>0.1618314671415245</v>
      </c>
      <c r="G16" s="19" t="n">
        <v>0.1608599605522683</v>
      </c>
    </row>
    <row r="17">
      <c r="B17" s="11" t="inlineStr">
        <is>
          <t>Format Moyen (16-30s)</t>
        </is>
      </c>
      <c r="C17" s="21" t="n">
        <v>28</v>
      </c>
      <c r="D17" s="18" t="n">
        <v>71.5</v>
      </c>
      <c r="E17" s="18" t="n">
        <v>58.4</v>
      </c>
      <c r="F17" s="19" t="n">
        <v>0.1386273815808582</v>
      </c>
      <c r="G17" s="19" t="n">
        <v>0.1408463557804861</v>
      </c>
    </row>
    <row r="18">
      <c r="B18" s="11" t="inlineStr">
        <is>
          <t>Format Long (&gt;30s)</t>
        </is>
      </c>
      <c r="C18" s="21" t="n">
        <v>27</v>
      </c>
      <c r="D18" s="18" t="n">
        <v>52.7</v>
      </c>
      <c r="E18" s="18" t="n">
        <v>45.2</v>
      </c>
      <c r="F18" s="19" t="n">
        <v>0.1889999678672219</v>
      </c>
      <c r="G18" s="19" t="n">
        <v>0.1954070512820513</v>
      </c>
    </row>
    <row r="21">
      <c r="B21" s="8" t="inlineStr">
        <is>
          <t>3. IMPACT DE L'AUDIO (Facteur contrôlable n°2)</t>
        </is>
      </c>
    </row>
    <row r="23">
      <c r="B23" s="20" t="inlineStr">
        <is>
          <t>Type d'Audio Utilisé</t>
        </is>
      </c>
      <c r="C23" s="20" t="inlineStr">
        <is>
          <t>Nb Vidéos</t>
        </is>
      </c>
      <c r="D23" s="20" t="inlineStr">
        <is>
          <t>Part (%)</t>
        </is>
      </c>
      <c r="E23" s="20" t="inlineStr">
        <is>
          <t>Vues Moyennes (M)</t>
        </is>
      </c>
      <c r="F23" s="20" t="inlineStr">
        <is>
          <t>Vues Médianes (M)</t>
        </is>
      </c>
      <c r="G23" s="20" t="inlineStr">
        <is>
          <t>Taux Engagement Moyen (%)</t>
        </is>
      </c>
    </row>
    <row r="24">
      <c r="B24" s="11" t="inlineStr">
        <is>
          <t>Musique Commerciale Sous Licence</t>
        </is>
      </c>
      <c r="C24" s="21" t="n">
        <v>25</v>
      </c>
      <c r="D24" s="19" t="n">
        <v>0.25</v>
      </c>
      <c r="E24" s="18" t="n">
        <v>59.4</v>
      </c>
      <c r="F24" s="18" t="n">
        <v>52.1</v>
      </c>
      <c r="G24" s="19" t="n">
        <v>0.1792894217008943</v>
      </c>
    </row>
    <row r="25">
      <c r="B25" s="11" t="inlineStr">
        <is>
          <t>Audio Original / Meme</t>
        </is>
      </c>
      <c r="C25" s="21" t="n">
        <v>75</v>
      </c>
      <c r="D25" s="19" t="n">
        <v>0.75</v>
      </c>
      <c r="E25" s="18" t="n">
        <v>71.40000000000001</v>
      </c>
      <c r="F25" s="18" t="n">
        <v>55.4</v>
      </c>
      <c r="G25" s="19" t="n">
        <v>0.1571299506070035</v>
      </c>
    </row>
    <row r="28">
      <c r="B28" s="8" t="inlineStr">
        <is>
          <t>4. FACTEURS TESTÉS SANS INFLUENCE SIGNIFICATIVE (Audit d'exhaustivité)</t>
        </is>
      </c>
    </row>
    <row r="30">
      <c r="B30" s="22" t="inlineStr">
        <is>
          <t>Facteur Testé</t>
        </is>
      </c>
      <c r="C30" s="22" t="inlineStr">
        <is>
          <t>Modalité A</t>
        </is>
      </c>
      <c r="D30" s="22" t="inlineStr">
        <is>
          <t>Modalité B</t>
        </is>
      </c>
      <c r="E30" s="22" t="inlineStr">
        <is>
          <t>Résultat &amp; Interprétation pour le Client</t>
        </is>
      </c>
    </row>
    <row r="31">
      <c r="B31" s="11" t="inlineStr">
        <is>
          <t>Badge Compte Vérifié</t>
        </is>
      </c>
      <c r="C31" s="10" t="inlineStr">
        <is>
          <t>Certifié (41%) : 65,8 M vues moy., 15,5% ER</t>
        </is>
      </c>
      <c r="D31" s="10" t="inlineStr">
        <is>
          <t>Non-Certifié (59%) : 70,2 M vues moy., 16,8% ER</t>
        </is>
      </c>
      <c r="E31" s="10" t="inlineStr">
        <is>
          <t>Aucun bonus algorithmique de visibilité. Ne pas surpayer un compte sur la base unique de son badge.</t>
        </is>
      </c>
    </row>
    <row r="32">
      <c r="B32" s="23" t="inlineStr">
        <is>
          <t>Activation Stitch</t>
        </is>
      </c>
      <c r="C32" s="24" t="inlineStr">
        <is>
          <t>Activé (89%) : 67,9 M vues moy., 16,2% ER</t>
        </is>
      </c>
      <c r="D32" s="24" t="inlineStr">
        <is>
          <t>Désactivé (11%) : 72,4 M vues moy., 17,1% ER</t>
        </is>
      </c>
      <c r="E32" s="24" t="inlineStr">
        <is>
          <t>L'autorisation du stitch par les tiers n'a aucun impact direct mesurable sur la viralité première de la vidéo.</t>
        </is>
      </c>
    </row>
    <row r="33">
      <c r="B33" s="11" t="inlineStr">
        <is>
          <t>Nombre de vidéos publiées</t>
        </is>
      </c>
      <c r="C33" s="10" t="inlineStr">
        <is>
          <t>Corrélation avec les vues : r = +0.08</t>
        </is>
      </c>
      <c r="D33" s="10" t="inlineStr">
        <is>
          <t>Corrélation avec ER : r = -0.04</t>
        </is>
      </c>
      <c r="E33" s="10" t="inlineStr">
        <is>
          <t>Le volume historique de vidéos publiées par un profil n'influe pas sur la réussite d'un contenu spécifique.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"/>
  <sheetViews>
    <sheetView showGridLines="1" workbookViewId="0">
      <selection activeCell="A1" sqref="A1"/>
    </sheetView>
  </sheetViews>
  <sheetFormatPr baseColWidth="8" defaultRowHeight="15"/>
  <cols>
    <col width="139" customWidth="1" min="1" max="1"/>
    <col width="26" customWidth="1" min="2" max="2"/>
    <col width="28" customWidth="1" min="3" max="3"/>
    <col width="23" customWidth="1" min="4" max="4"/>
    <col width="20" customWidth="1" min="5" max="5"/>
    <col width="12" customWidth="1" min="6" max="6"/>
    <col width="12" customWidth="1" min="7" max="7"/>
    <col width="12" customWidth="1" min="8" max="8"/>
    <col width="11" customWidth="1" min="9" max="9"/>
    <col width="15" customWidth="1" min="10" max="10"/>
    <col width="11" customWidth="1" min="11" max="11"/>
    <col width="21" customWidth="1" min="12" max="12"/>
    <col width="18" customWidth="1" min="13" max="13"/>
    <col width="23" customWidth="1" min="14" max="14"/>
    <col width="17" customWidth="1" min="15" max="15"/>
    <col width="17" customWidth="1" min="16" max="16"/>
  </cols>
  <sheetData>
    <row r="1">
      <c r="A1" s="1" t="inlineStr">
        <is>
          <t>BASE DE DONNÉES PRÉPARÉE &amp; NETTOYÉE (100 OBSERVATIONS) — FORMAT CLIENT</t>
        </is>
      </c>
    </row>
    <row r="2">
      <c r="A2" s="2" t="inlineStr">
        <is>
          <t>Données anonymisées conformément aux règles de confidentialité de l'agence (exclusion des PII, liens privés et IDs techniques internes).</t>
        </is>
      </c>
    </row>
    <row r="3"/>
    <row r="4">
      <c r="A4" s="12" t="inlineStr">
        <is>
          <t>Index</t>
        </is>
      </c>
      <c r="B4" s="12" t="inlineStr">
        <is>
          <t>Handle_Createur</t>
        </is>
      </c>
      <c r="C4" s="12" t="inlineStr">
        <is>
          <t>Nom_Affiche</t>
        </is>
      </c>
      <c r="D4" s="12" t="inlineStr">
        <is>
          <t>Categorie</t>
        </is>
      </c>
      <c r="E4" s="12" t="inlineStr">
        <is>
          <t>Segment_Followers</t>
        </is>
      </c>
      <c r="F4" s="12" t="inlineStr">
        <is>
          <t>Followers</t>
        </is>
      </c>
      <c r="G4" s="12" t="inlineStr">
        <is>
          <t>Duree_Sec</t>
        </is>
      </c>
      <c r="H4" s="12" t="inlineStr">
        <is>
          <t>Vues</t>
        </is>
      </c>
      <c r="I4" s="12" t="inlineStr">
        <is>
          <t>Likes</t>
        </is>
      </c>
      <c r="J4" s="12" t="inlineStr">
        <is>
          <t>Commentaires</t>
        </is>
      </c>
      <c r="K4" s="12" t="inlineStr">
        <is>
          <t>Partages</t>
        </is>
      </c>
      <c r="L4" s="12" t="inlineStr">
        <is>
          <t>Total_Interactions</t>
        </is>
      </c>
      <c r="M4" s="12" t="inlineStr">
        <is>
          <t>Taux_Engagement</t>
        </is>
      </c>
      <c r="N4" s="12" t="inlineStr">
        <is>
          <t>Multiplicateur_Viral</t>
        </is>
      </c>
      <c r="O4" s="12" t="inlineStr">
        <is>
          <t>Audio_Original</t>
        </is>
      </c>
      <c r="P4" s="12" t="inlineStr">
        <is>
          <t>Badge_Certifie</t>
        </is>
      </c>
    </row>
    <row r="5">
      <c r="A5" s="21" t="n">
        <v>1</v>
      </c>
      <c r="B5" t="inlineStr">
        <is>
          <t>@britishpromise.cats</t>
        </is>
      </c>
      <c r="C5" t="inlineStr">
        <is>
          <t>British Promise Cats</t>
        </is>
      </c>
      <c r="D5" t="inlineStr">
        <is>
          <t>Animaux &amp; Pets</t>
        </is>
      </c>
      <c r="E5" t="inlineStr">
        <is>
          <t>Mid/Macro (1M-5M)</t>
        </is>
      </c>
      <c r="F5" s="17" t="n">
        <v>3100000</v>
      </c>
      <c r="G5" s="21" t="n">
        <v>13</v>
      </c>
      <c r="H5" s="17" t="n">
        <v>280900000</v>
      </c>
      <c r="I5" s="17" t="n">
        <v>35600000</v>
      </c>
      <c r="J5" s="17" t="n">
        <v>475900</v>
      </c>
      <c r="K5" s="17" t="n">
        <v>2700000</v>
      </c>
      <c r="L5" s="17">
        <f>I5+J5+K5</f>
        <v/>
      </c>
      <c r="M5" s="19">
        <f>L5/H5</f>
        <v/>
      </c>
      <c r="N5" s="18">
        <f>H5/F5</f>
        <v/>
      </c>
      <c r="O5" s="21" t="inlineStr">
        <is>
          <t>Oui</t>
        </is>
      </c>
      <c r="P5" s="21" t="inlineStr">
        <is>
          <t>Non</t>
        </is>
      </c>
    </row>
    <row r="6">
      <c r="A6" s="25" t="n">
        <v>2</v>
      </c>
      <c r="B6" s="13" t="inlineStr">
        <is>
          <t>@funnyvids2k21</t>
        </is>
      </c>
      <c r="C6" s="13" t="inlineStr">
        <is>
          <t>Funny Vids 2k21</t>
        </is>
      </c>
      <c r="D6" s="13" t="inlineStr">
        <is>
          <t>Animaux &amp; Pets</t>
        </is>
      </c>
      <c r="E6" s="13" t="inlineStr">
        <is>
          <t>Mid/Macro (1M-5M)</t>
        </is>
      </c>
      <c r="F6" s="14" t="n">
        <v>4200000</v>
      </c>
      <c r="G6" s="25" t="n">
        <v>7</v>
      </c>
      <c r="H6" s="14" t="n">
        <v>197700000</v>
      </c>
      <c r="I6" s="14" t="n">
        <v>18800000</v>
      </c>
      <c r="J6" s="14" t="n">
        <v>236500</v>
      </c>
      <c r="K6" s="14" t="n">
        <v>1200000</v>
      </c>
      <c r="L6" s="14">
        <f>I6+J6+K6</f>
        <v/>
      </c>
      <c r="M6" s="16">
        <f>L6/H6</f>
        <v/>
      </c>
      <c r="N6" s="15">
        <f>H6/F6</f>
        <v/>
      </c>
      <c r="O6" s="25" t="inlineStr">
        <is>
          <t>Oui</t>
        </is>
      </c>
      <c r="P6" s="25" t="inlineStr">
        <is>
          <t>Non</t>
        </is>
      </c>
    </row>
    <row r="7">
      <c r="A7" s="21" t="n">
        <v>3</v>
      </c>
      <c r="B7" t="inlineStr">
        <is>
          <t>@samuelgrubbs</t>
        </is>
      </c>
      <c r="C7" t="inlineStr">
        <is>
          <t>Samuel Grubbs</t>
        </is>
      </c>
      <c r="D7" t="inlineStr">
        <is>
          <t>Humour &amp; Sketch</t>
        </is>
      </c>
      <c r="E7" t="inlineStr">
        <is>
          <t>Mega (5M+)</t>
        </is>
      </c>
      <c r="F7" s="17" t="n">
        <v>7900000</v>
      </c>
      <c r="G7" s="21" t="n">
        <v>14</v>
      </c>
      <c r="H7" s="17" t="n">
        <v>144300000</v>
      </c>
      <c r="I7" s="17" t="n">
        <v>18500000</v>
      </c>
      <c r="J7" s="17" t="n">
        <v>222000</v>
      </c>
      <c r="K7" s="17" t="n">
        <v>421400</v>
      </c>
      <c r="L7" s="17">
        <f>I7+J7+K7</f>
        <v/>
      </c>
      <c r="M7" s="19">
        <f>L7/H7</f>
        <v/>
      </c>
      <c r="N7" s="18">
        <f>H7/F7</f>
        <v/>
      </c>
      <c r="O7" s="21" t="inlineStr">
        <is>
          <t>Non</t>
        </is>
      </c>
      <c r="P7" s="21" t="inlineStr">
        <is>
          <t>Oui</t>
        </is>
      </c>
    </row>
    <row r="8">
      <c r="A8" s="25" t="n">
        <v>4</v>
      </c>
      <c r="B8" s="13" t="inlineStr">
        <is>
          <t>@banditthecoon</t>
        </is>
      </c>
      <c r="C8" s="13" t="inlineStr">
        <is>
          <t>Bandit the Raccoon</t>
        </is>
      </c>
      <c r="D8" s="13" t="inlineStr">
        <is>
          <t>Animaux &amp; Pets</t>
        </is>
      </c>
      <c r="E8" s="13" t="inlineStr">
        <is>
          <t>Mid/Macro (1M-5M)</t>
        </is>
      </c>
      <c r="F8" s="14" t="n">
        <v>1400000</v>
      </c>
      <c r="G8" s="25" t="n">
        <v>10</v>
      </c>
      <c r="H8" s="14" t="n">
        <v>98500000</v>
      </c>
      <c r="I8" s="14" t="n">
        <v>18400000</v>
      </c>
      <c r="J8" s="14" t="n">
        <v>157000</v>
      </c>
      <c r="K8" s="14" t="n">
        <v>383600</v>
      </c>
      <c r="L8" s="14">
        <f>I8+J8+K8</f>
        <v/>
      </c>
      <c r="M8" s="16">
        <f>L8/H8</f>
        <v/>
      </c>
      <c r="N8" s="15">
        <f>H8/F8</f>
        <v/>
      </c>
      <c r="O8" s="25" t="inlineStr">
        <is>
          <t>Oui</t>
        </is>
      </c>
      <c r="P8" s="25" t="inlineStr">
        <is>
          <t>Non</t>
        </is>
      </c>
    </row>
    <row r="9">
      <c r="A9" s="21" t="n">
        <v>5</v>
      </c>
      <c r="B9" t="inlineStr">
        <is>
          <t>@ox_zung</t>
        </is>
      </c>
      <c r="C9" t="inlineStr">
        <is>
          <t>원정맨 WonJeong</t>
        </is>
      </c>
      <c r="D9" t="inlineStr">
        <is>
          <t>Humour &amp; Sketch</t>
        </is>
      </c>
      <c r="E9" t="inlineStr">
        <is>
          <t>Mega (5M+)</t>
        </is>
      </c>
      <c r="F9" s="17" t="n">
        <v>27400000</v>
      </c>
      <c r="G9" s="21" t="n">
        <v>10</v>
      </c>
      <c r="H9" s="17" t="n">
        <v>141800000</v>
      </c>
      <c r="I9" s="17" t="n">
        <v>16000000</v>
      </c>
      <c r="J9" s="17" t="n">
        <v>163800</v>
      </c>
      <c r="K9" s="17" t="n">
        <v>152600</v>
      </c>
      <c r="L9" s="17">
        <f>I9+J9+K9</f>
        <v/>
      </c>
      <c r="M9" s="19">
        <f>L9/H9</f>
        <v/>
      </c>
      <c r="N9" s="18">
        <f>H9/F9</f>
        <v/>
      </c>
      <c r="O9" s="21" t="inlineStr">
        <is>
          <t>Oui</t>
        </is>
      </c>
      <c r="P9" s="21" t="inlineStr">
        <is>
          <t>Oui</t>
        </is>
      </c>
    </row>
    <row r="10">
      <c r="A10" s="25" t="n">
        <v>6</v>
      </c>
      <c r="B10" s="13" t="inlineStr">
        <is>
          <t>@crinka11</t>
        </is>
      </c>
      <c r="C10" s="13" t="inlineStr">
        <is>
          <t>crinka</t>
        </is>
      </c>
      <c r="D10" s="13" t="inlineStr">
        <is>
          <t>Humour &amp; Sketch</t>
        </is>
      </c>
      <c r="E10" s="13" t="inlineStr">
        <is>
          <t>Mid/Macro (1M-5M)</t>
        </is>
      </c>
      <c r="F10" s="14" t="n">
        <v>1300000</v>
      </c>
      <c r="G10" s="25" t="n">
        <v>11</v>
      </c>
      <c r="H10" s="14" t="n">
        <v>73600000</v>
      </c>
      <c r="I10" s="14" t="n">
        <v>15000000</v>
      </c>
      <c r="J10" s="14" t="n">
        <v>164900</v>
      </c>
      <c r="K10" s="14" t="n">
        <v>197300</v>
      </c>
      <c r="L10" s="14">
        <f>I10+J10+K10</f>
        <v/>
      </c>
      <c r="M10" s="16">
        <f>L10/H10</f>
        <v/>
      </c>
      <c r="N10" s="15">
        <f>H10/F10</f>
        <v/>
      </c>
      <c r="O10" s="25" t="inlineStr">
        <is>
          <t>Oui</t>
        </is>
      </c>
      <c r="P10" s="25" t="inlineStr">
        <is>
          <t>Non</t>
        </is>
      </c>
    </row>
    <row r="11">
      <c r="A11" s="21" t="n">
        <v>7</v>
      </c>
      <c r="B11" t="inlineStr">
        <is>
          <t>@jhoan.roa</t>
        </is>
      </c>
      <c r="C11" t="inlineStr">
        <is>
          <t>Jhoan Roa</t>
        </is>
      </c>
      <c r="D11" t="inlineStr">
        <is>
          <t>Humour &amp; Sketch</t>
        </is>
      </c>
      <c r="E11" t="inlineStr">
        <is>
          <t>Micro/Nano (&lt;1M)</t>
        </is>
      </c>
      <c r="F11" s="17" t="n">
        <v>946600</v>
      </c>
      <c r="G11" s="21" t="n">
        <v>12</v>
      </c>
      <c r="H11" s="17" t="n">
        <v>110500000</v>
      </c>
      <c r="I11" s="17" t="n">
        <v>14100000</v>
      </c>
      <c r="J11" s="17" t="n">
        <v>49200</v>
      </c>
      <c r="K11" s="17" t="n">
        <v>128700</v>
      </c>
      <c r="L11" s="17">
        <f>I11+J11+K11</f>
        <v/>
      </c>
      <c r="M11" s="19">
        <f>L11/H11</f>
        <v/>
      </c>
      <c r="N11" s="18">
        <f>H11/F11</f>
        <v/>
      </c>
      <c r="O11" s="21" t="inlineStr">
        <is>
          <t>Oui</t>
        </is>
      </c>
      <c r="P11" s="21" t="inlineStr">
        <is>
          <t>Non</t>
        </is>
      </c>
    </row>
    <row r="12">
      <c r="A12" s="25" t="n">
        <v>8</v>
      </c>
      <c r="B12" s="13" t="inlineStr">
        <is>
          <t>@funnyvids2k21</t>
        </is>
      </c>
      <c r="C12" s="13" t="inlineStr">
        <is>
          <t>Funny Vids 2k21</t>
        </is>
      </c>
      <c r="D12" s="13" t="inlineStr">
        <is>
          <t>Animaux &amp; Pets</t>
        </is>
      </c>
      <c r="E12" s="13" t="inlineStr">
        <is>
          <t>Mid/Macro (1M-5M)</t>
        </is>
      </c>
      <c r="F12" s="14" t="n">
        <v>4200000</v>
      </c>
      <c r="G12" s="25" t="n">
        <v>7</v>
      </c>
      <c r="H12" s="14" t="n">
        <v>112400000</v>
      </c>
      <c r="I12" s="14" t="n">
        <v>14100000</v>
      </c>
      <c r="J12" s="14" t="n">
        <v>180200</v>
      </c>
      <c r="K12" s="14" t="n">
        <v>601600</v>
      </c>
      <c r="L12" s="14">
        <f>I12+J12+K12</f>
        <v/>
      </c>
      <c r="M12" s="16">
        <f>L12/H12</f>
        <v/>
      </c>
      <c r="N12" s="15">
        <f>H12/F12</f>
        <v/>
      </c>
      <c r="O12" s="25" t="inlineStr">
        <is>
          <t>Oui</t>
        </is>
      </c>
      <c r="P12" s="25" t="inlineStr">
        <is>
          <t>Non</t>
        </is>
      </c>
    </row>
    <row r="13">
      <c r="A13" s="21" t="n">
        <v>9</v>
      </c>
      <c r="B13" t="inlineStr">
        <is>
          <t>@cat_kitty66</t>
        </is>
      </c>
      <c r="C13" t="inlineStr">
        <is>
          <t>Kitty cat｜Kucing</t>
        </is>
      </c>
      <c r="D13" t="inlineStr">
        <is>
          <t>Animaux &amp; Pets</t>
        </is>
      </c>
      <c r="E13" t="inlineStr">
        <is>
          <t>Mid/Macro (1M-5M)</t>
        </is>
      </c>
      <c r="F13" s="17" t="n">
        <v>2700000</v>
      </c>
      <c r="G13" s="21" t="n">
        <v>6</v>
      </c>
      <c r="H13" s="17" t="n">
        <v>108100000</v>
      </c>
      <c r="I13" s="17" t="n">
        <v>14000000</v>
      </c>
      <c r="J13" s="17" t="n">
        <v>190300</v>
      </c>
      <c r="K13" s="17" t="n">
        <v>1300000</v>
      </c>
      <c r="L13" s="17">
        <f>I13+J13+K13</f>
        <v/>
      </c>
      <c r="M13" s="19">
        <f>L13/H13</f>
        <v/>
      </c>
      <c r="N13" s="18">
        <f>H13/F13</f>
        <v/>
      </c>
      <c r="O13" s="21" t="inlineStr">
        <is>
          <t>Oui</t>
        </is>
      </c>
      <c r="P13" s="21" t="inlineStr">
        <is>
          <t>Non</t>
        </is>
      </c>
    </row>
    <row r="14">
      <c r="A14" s="25" t="n">
        <v>10</v>
      </c>
      <c r="B14" s="13" t="inlineStr">
        <is>
          <t>@ox_zung</t>
        </is>
      </c>
      <c r="C14" s="13" t="inlineStr">
        <is>
          <t>원정맨 WonJeong</t>
        </is>
      </c>
      <c r="D14" s="13" t="inlineStr">
        <is>
          <t>Humour &amp; Sketch</t>
        </is>
      </c>
      <c r="E14" s="13" t="inlineStr">
        <is>
          <t>Mega (5M+)</t>
        </is>
      </c>
      <c r="F14" s="14" t="n">
        <v>27400000</v>
      </c>
      <c r="G14" s="25" t="n">
        <v>18</v>
      </c>
      <c r="H14" s="14" t="n">
        <v>154900000</v>
      </c>
      <c r="I14" s="14" t="n">
        <v>13800000</v>
      </c>
      <c r="J14" s="14" t="n">
        <v>76100</v>
      </c>
      <c r="K14" s="14" t="n">
        <v>60100</v>
      </c>
      <c r="L14" s="14">
        <f>I14+J14+K14</f>
        <v/>
      </c>
      <c r="M14" s="16">
        <f>L14/H14</f>
        <v/>
      </c>
      <c r="N14" s="15">
        <f>H14/F14</f>
        <v/>
      </c>
      <c r="O14" s="25" t="inlineStr">
        <is>
          <t>Oui</t>
        </is>
      </c>
      <c r="P14" s="25" t="inlineStr">
        <is>
          <t>Oui</t>
        </is>
      </c>
    </row>
    <row r="15">
      <c r="A15" s="21" t="n">
        <v>11</v>
      </c>
      <c r="B15" t="inlineStr">
        <is>
          <t>@ttmmff100</t>
        </is>
      </c>
      <c r="C15" t="inlineStr">
        <is>
          <t>♡  Tay</t>
        </is>
      </c>
      <c r="D15" t="inlineStr">
        <is>
          <t>Animaux &amp; Pets</t>
        </is>
      </c>
      <c r="E15" t="inlineStr">
        <is>
          <t>Micro/Nano (&lt;1M)</t>
        </is>
      </c>
      <c r="F15" s="17" t="n">
        <v>168400</v>
      </c>
      <c r="G15" s="21" t="n">
        <v>10</v>
      </c>
      <c r="H15" s="17" t="n">
        <v>59400000</v>
      </c>
      <c r="I15" s="17" t="n">
        <v>12500000</v>
      </c>
      <c r="J15" s="17" t="n">
        <v>364600</v>
      </c>
      <c r="K15" s="17" t="n">
        <v>1000000</v>
      </c>
      <c r="L15" s="17">
        <f>I15+J15+K15</f>
        <v/>
      </c>
      <c r="M15" s="19">
        <f>L15/H15</f>
        <v/>
      </c>
      <c r="N15" s="18">
        <f>H15/F15</f>
        <v/>
      </c>
      <c r="O15" s="21" t="inlineStr">
        <is>
          <t>Oui</t>
        </is>
      </c>
      <c r="P15" s="21" t="inlineStr">
        <is>
          <t>Non</t>
        </is>
      </c>
    </row>
    <row r="16">
      <c r="A16" s="25" t="n">
        <v>12</v>
      </c>
      <c r="B16" s="13" t="inlineStr">
        <is>
          <t>@samuelgrubbs</t>
        </is>
      </c>
      <c r="C16" s="13" t="inlineStr">
        <is>
          <t>Samuel Grubbs</t>
        </is>
      </c>
      <c r="D16" s="13" t="inlineStr">
        <is>
          <t>Humour &amp; Sketch</t>
        </is>
      </c>
      <c r="E16" s="13" t="inlineStr">
        <is>
          <t>Mega (5M+)</t>
        </is>
      </c>
      <c r="F16" s="14" t="n">
        <v>7900000</v>
      </c>
      <c r="G16" s="25" t="n">
        <v>18</v>
      </c>
      <c r="H16" s="14" t="n">
        <v>126600000</v>
      </c>
      <c r="I16" s="14" t="n">
        <v>12000000</v>
      </c>
      <c r="J16" s="14" t="n">
        <v>60100</v>
      </c>
      <c r="K16" s="14" t="n">
        <v>701300</v>
      </c>
      <c r="L16" s="14">
        <f>I16+J16+K16</f>
        <v/>
      </c>
      <c r="M16" s="16">
        <f>L16/H16</f>
        <v/>
      </c>
      <c r="N16" s="15">
        <f>H16/F16</f>
        <v/>
      </c>
      <c r="O16" s="25" t="inlineStr">
        <is>
          <t>Non</t>
        </is>
      </c>
      <c r="P16" s="25" t="inlineStr">
        <is>
          <t>Oui</t>
        </is>
      </c>
    </row>
    <row r="17">
      <c r="A17" s="21" t="n">
        <v>13</v>
      </c>
      <c r="B17" t="inlineStr">
        <is>
          <t>@kylescheele</t>
        </is>
      </c>
      <c r="C17" t="inlineStr">
        <is>
          <t>kylescheele</t>
        </is>
      </c>
      <c r="D17" t="inlineStr">
        <is>
          <t>Talents &amp; Créativité</t>
        </is>
      </c>
      <c r="E17" t="inlineStr">
        <is>
          <t>Mid/Macro (1M-5M)</t>
        </is>
      </c>
      <c r="F17" s="17" t="n">
        <v>2100000</v>
      </c>
      <c r="G17" s="21" t="n">
        <v>57</v>
      </c>
      <c r="H17" s="17" t="n">
        <v>62400000</v>
      </c>
      <c r="I17" s="17" t="n">
        <v>11900000</v>
      </c>
      <c r="J17" s="17" t="n">
        <v>89600</v>
      </c>
      <c r="K17" s="17" t="n">
        <v>203800</v>
      </c>
      <c r="L17" s="17">
        <f>I17+J17+K17</f>
        <v/>
      </c>
      <c r="M17" s="19">
        <f>L17/H17</f>
        <v/>
      </c>
      <c r="N17" s="18">
        <f>H17/F17</f>
        <v/>
      </c>
      <c r="O17" s="21" t="inlineStr">
        <is>
          <t>Oui</t>
        </is>
      </c>
      <c r="P17" s="21" t="inlineStr">
        <is>
          <t>Non</t>
        </is>
      </c>
    </row>
    <row r="18">
      <c r="A18" s="25" t="n">
        <v>14</v>
      </c>
      <c r="B18" s="13" t="inlineStr">
        <is>
          <t>@lexnotalexis</t>
        </is>
      </c>
      <c r="C18" s="13" t="inlineStr">
        <is>
          <t>lex</t>
        </is>
      </c>
      <c r="D18" s="13" t="inlineStr">
        <is>
          <t>Humour &amp; Sketch</t>
        </is>
      </c>
      <c r="E18" s="13" t="inlineStr">
        <is>
          <t>Micro/Nano (&lt;1M)</t>
        </is>
      </c>
      <c r="F18" s="14" t="n">
        <v>381700</v>
      </c>
      <c r="G18" s="25" t="n">
        <v>11</v>
      </c>
      <c r="H18" s="14" t="n">
        <v>52600000</v>
      </c>
      <c r="I18" s="14" t="n">
        <v>11400000</v>
      </c>
      <c r="J18" s="14" t="n">
        <v>87300</v>
      </c>
      <c r="K18" s="14" t="n">
        <v>237300</v>
      </c>
      <c r="L18" s="14">
        <f>I18+J18+K18</f>
        <v/>
      </c>
      <c r="M18" s="16">
        <f>L18/H18</f>
        <v/>
      </c>
      <c r="N18" s="15">
        <f>H18/F18</f>
        <v/>
      </c>
      <c r="O18" s="25" t="inlineStr">
        <is>
          <t>Non</t>
        </is>
      </c>
      <c r="P18" s="25" t="inlineStr">
        <is>
          <t>Non</t>
        </is>
      </c>
    </row>
    <row r="19">
      <c r="A19" s="21" t="n">
        <v>15</v>
      </c>
      <c r="B19" t="inlineStr">
        <is>
          <t>@this.tourettes.guy</t>
        </is>
      </c>
      <c r="C19" t="inlineStr">
        <is>
          <t>Glen cooney</t>
        </is>
      </c>
      <c r="D19" t="inlineStr">
        <is>
          <t>Famille &amp; Couple</t>
        </is>
      </c>
      <c r="E19" t="inlineStr">
        <is>
          <t>Mid/Macro (1M-5M)</t>
        </is>
      </c>
      <c r="F19" s="17" t="n">
        <v>3500000</v>
      </c>
      <c r="G19" s="21" t="n">
        <v>59</v>
      </c>
      <c r="H19" s="17" t="n">
        <v>65900000</v>
      </c>
      <c r="I19" s="17" t="n">
        <v>11200000</v>
      </c>
      <c r="J19" s="17" t="n">
        <v>188300</v>
      </c>
      <c r="K19" s="17" t="n">
        <v>728700</v>
      </c>
      <c r="L19" s="17">
        <f>I19+J19+K19</f>
        <v/>
      </c>
      <c r="M19" s="19">
        <f>L19/H19</f>
        <v/>
      </c>
      <c r="N19" s="18">
        <f>H19/F19</f>
        <v/>
      </c>
      <c r="O19" s="21" t="inlineStr">
        <is>
          <t>Non</t>
        </is>
      </c>
      <c r="P19" s="21" t="inlineStr">
        <is>
          <t>Oui</t>
        </is>
      </c>
    </row>
    <row r="20">
      <c r="A20" s="25" t="n">
        <v>16</v>
      </c>
      <c r="B20" s="13" t="inlineStr">
        <is>
          <t>@johnn_deer</t>
        </is>
      </c>
      <c r="C20" s="13" t="inlineStr">
        <is>
          <t>Thomas</t>
        </is>
      </c>
      <c r="D20" s="13" t="inlineStr">
        <is>
          <t>Humour &amp; Sketch</t>
        </is>
      </c>
      <c r="E20" s="13" t="inlineStr">
        <is>
          <t>Micro/Nano (&lt;1M)</t>
        </is>
      </c>
      <c r="F20" s="14" t="n">
        <v>144200</v>
      </c>
      <c r="G20" s="25" t="n">
        <v>10</v>
      </c>
      <c r="H20" s="14" t="n">
        <v>46100000</v>
      </c>
      <c r="I20" s="14" t="n">
        <v>11200000</v>
      </c>
      <c r="J20" s="14" t="n">
        <v>227900</v>
      </c>
      <c r="K20" s="14" t="n">
        <v>390800</v>
      </c>
      <c r="L20" s="14">
        <f>I20+J20+K20</f>
        <v/>
      </c>
      <c r="M20" s="16">
        <f>L20/H20</f>
        <v/>
      </c>
      <c r="N20" s="15">
        <f>H20/F20</f>
        <v/>
      </c>
      <c r="O20" s="25" t="inlineStr">
        <is>
          <t>Non</t>
        </is>
      </c>
      <c r="P20" s="25" t="inlineStr">
        <is>
          <t>Non</t>
        </is>
      </c>
    </row>
    <row r="21">
      <c r="A21" s="21" t="n">
        <v>17</v>
      </c>
      <c r="B21" t="inlineStr">
        <is>
          <t>@samuelgrubbs</t>
        </is>
      </c>
      <c r="C21" t="inlineStr">
        <is>
          <t>Samuel Grubbs</t>
        </is>
      </c>
      <c r="D21" t="inlineStr">
        <is>
          <t>Talents &amp; Créativité</t>
        </is>
      </c>
      <c r="E21" t="inlineStr">
        <is>
          <t>Mega (5M+)</t>
        </is>
      </c>
      <c r="F21" s="17" t="n">
        <v>7900000</v>
      </c>
      <c r="G21" s="21" t="n">
        <v>19</v>
      </c>
      <c r="H21" s="17" t="n">
        <v>77000000</v>
      </c>
      <c r="I21" s="17" t="n">
        <v>11000000</v>
      </c>
      <c r="J21" s="17" t="n">
        <v>56300</v>
      </c>
      <c r="K21" s="17" t="n">
        <v>194300</v>
      </c>
      <c r="L21" s="17">
        <f>I21+J21+K21</f>
        <v/>
      </c>
      <c r="M21" s="19">
        <f>L21/H21</f>
        <v/>
      </c>
      <c r="N21" s="18">
        <f>H21/F21</f>
        <v/>
      </c>
      <c r="O21" s="21" t="inlineStr">
        <is>
          <t>Oui</t>
        </is>
      </c>
      <c r="P21" s="21" t="inlineStr">
        <is>
          <t>Oui</t>
        </is>
      </c>
    </row>
    <row r="22">
      <c r="A22" s="25" t="n">
        <v>18</v>
      </c>
      <c r="B22" s="13" t="inlineStr">
        <is>
          <t>@mercuri_88</t>
        </is>
      </c>
      <c r="C22" s="13" t="inlineStr">
        <is>
          <t>Manuel Mercuri</t>
        </is>
      </c>
      <c r="D22" s="13" t="inlineStr">
        <is>
          <t>Famille &amp; Couple</t>
        </is>
      </c>
      <c r="E22" s="13" t="inlineStr">
        <is>
          <t>Mega (5M+)</t>
        </is>
      </c>
      <c r="F22" s="14" t="n">
        <v>14500000</v>
      </c>
      <c r="G22" s="25" t="n">
        <v>10</v>
      </c>
      <c r="H22" s="14" t="n">
        <v>75700000</v>
      </c>
      <c r="I22" s="14" t="n">
        <v>10600000</v>
      </c>
      <c r="J22" s="14" t="n">
        <v>111500</v>
      </c>
      <c r="K22" s="14" t="n">
        <v>267700</v>
      </c>
      <c r="L22" s="14">
        <f>I22+J22+K22</f>
        <v/>
      </c>
      <c r="M22" s="16">
        <f>L22/H22</f>
        <v/>
      </c>
      <c r="N22" s="15">
        <f>H22/F22</f>
        <v/>
      </c>
      <c r="O22" s="25" t="inlineStr">
        <is>
          <t>Oui</t>
        </is>
      </c>
      <c r="P22" s="25" t="inlineStr">
        <is>
          <t>Non</t>
        </is>
      </c>
    </row>
    <row r="23">
      <c r="A23" s="21" t="n">
        <v>19</v>
      </c>
      <c r="B23" t="inlineStr">
        <is>
          <t>@herodw</t>
        </is>
      </c>
      <c r="C23" t="inlineStr">
        <is>
          <t>Hero DW</t>
        </is>
      </c>
      <c r="D23" t="inlineStr">
        <is>
          <t>Sports &amp; Gaming</t>
        </is>
      </c>
      <c r="E23" t="inlineStr">
        <is>
          <t>Mega (5M+)</t>
        </is>
      </c>
      <c r="F23" s="17" t="n">
        <v>5200000</v>
      </c>
      <c r="G23" s="21" t="n">
        <v>47</v>
      </c>
      <c r="H23" s="17" t="n">
        <v>52100000</v>
      </c>
      <c r="I23" s="17" t="n">
        <v>10400000</v>
      </c>
      <c r="J23" s="17" t="n">
        <v>30000</v>
      </c>
      <c r="K23" s="17" t="n">
        <v>32000</v>
      </c>
      <c r="L23" s="17">
        <f>I23+J23+K23</f>
        <v/>
      </c>
      <c r="M23" s="19">
        <f>L23/H23</f>
        <v/>
      </c>
      <c r="N23" s="18">
        <f>H23/F23</f>
        <v/>
      </c>
      <c r="O23" s="21" t="inlineStr">
        <is>
          <t>Non</t>
        </is>
      </c>
      <c r="P23" s="21" t="inlineStr">
        <is>
          <t>Non</t>
        </is>
      </c>
    </row>
    <row r="24">
      <c r="A24" s="25" t="n">
        <v>20</v>
      </c>
      <c r="B24" s="13" t="inlineStr">
        <is>
          <t>@cs99tv</t>
        </is>
      </c>
      <c r="C24" s="13" t="inlineStr">
        <is>
          <t>CS99TV</t>
        </is>
      </c>
      <c r="D24" s="13" t="inlineStr">
        <is>
          <t>Sports &amp; Gaming</t>
        </is>
      </c>
      <c r="E24" s="13" t="inlineStr">
        <is>
          <t>Mid/Macro (1M-5M)</t>
        </is>
      </c>
      <c r="F24" s="14" t="n">
        <v>2300000</v>
      </c>
      <c r="G24" s="25" t="n">
        <v>23</v>
      </c>
      <c r="H24" s="14" t="n">
        <v>106200000</v>
      </c>
      <c r="I24" s="14" t="n">
        <v>10400000</v>
      </c>
      <c r="J24" s="14" t="n">
        <v>14000</v>
      </c>
      <c r="K24" s="14" t="n">
        <v>19400</v>
      </c>
      <c r="L24" s="14">
        <f>I24+J24+K24</f>
        <v/>
      </c>
      <c r="M24" s="16">
        <f>L24/H24</f>
        <v/>
      </c>
      <c r="N24" s="15">
        <f>H24/F24</f>
        <v/>
      </c>
      <c r="O24" s="25" t="inlineStr">
        <is>
          <t>Oui</t>
        </is>
      </c>
      <c r="P24" s="25" t="inlineStr">
        <is>
          <t>Non</t>
        </is>
      </c>
    </row>
    <row r="25">
      <c r="A25" s="21" t="n">
        <v>21</v>
      </c>
      <c r="B25" t="inlineStr">
        <is>
          <t>@sergiocentenojackson</t>
        </is>
      </c>
      <c r="C25" t="inlineStr">
        <is>
          <t>SERGIO CENTENO JACKSON 🇨🇴</t>
        </is>
      </c>
      <c r="D25" t="inlineStr">
        <is>
          <t>Sports &amp; Gaming</t>
        </is>
      </c>
      <c r="E25" t="inlineStr">
        <is>
          <t>Micro/Nano (&lt;1M)</t>
        </is>
      </c>
      <c r="F25" s="17" t="n">
        <v>547000</v>
      </c>
      <c r="G25" s="21" t="n">
        <v>16</v>
      </c>
      <c r="H25" s="17" t="n">
        <v>71200000</v>
      </c>
      <c r="I25" s="17" t="n">
        <v>10300000</v>
      </c>
      <c r="J25" s="17" t="n">
        <v>328100</v>
      </c>
      <c r="K25" s="17" t="n">
        <v>655800</v>
      </c>
      <c r="L25" s="17">
        <f>I25+J25+K25</f>
        <v/>
      </c>
      <c r="M25" s="19">
        <f>L25/H25</f>
        <v/>
      </c>
      <c r="N25" s="18">
        <f>H25/F25</f>
        <v/>
      </c>
      <c r="O25" s="21" t="inlineStr">
        <is>
          <t>Oui</t>
        </is>
      </c>
      <c r="P25" s="21" t="inlineStr">
        <is>
          <t>Non</t>
        </is>
      </c>
    </row>
    <row r="26">
      <c r="A26" s="25" t="n">
        <v>22</v>
      </c>
      <c r="B26" s="13" t="inlineStr">
        <is>
          <t>@samuelgrubbs</t>
        </is>
      </c>
      <c r="C26" s="13" t="inlineStr">
        <is>
          <t>Samuel Grubbs</t>
        </is>
      </c>
      <c r="D26" s="13" t="inlineStr">
        <is>
          <t>Humour &amp; Sketch</t>
        </is>
      </c>
      <c r="E26" s="13" t="inlineStr">
        <is>
          <t>Mega (5M+)</t>
        </is>
      </c>
      <c r="F26" s="14" t="n">
        <v>7900000</v>
      </c>
      <c r="G26" s="25" t="n">
        <v>18</v>
      </c>
      <c r="H26" s="14" t="n">
        <v>60300000</v>
      </c>
      <c r="I26" s="14" t="n">
        <v>10300000</v>
      </c>
      <c r="J26" s="14" t="n">
        <v>109800</v>
      </c>
      <c r="K26" s="14" t="n">
        <v>186400</v>
      </c>
      <c r="L26" s="14">
        <f>I26+J26+K26</f>
        <v/>
      </c>
      <c r="M26" s="16">
        <f>L26/H26</f>
        <v/>
      </c>
      <c r="N26" s="15">
        <f>H26/F26</f>
        <v/>
      </c>
      <c r="O26" s="25" t="inlineStr">
        <is>
          <t>Non</t>
        </is>
      </c>
      <c r="P26" s="25" t="inlineStr">
        <is>
          <t>Oui</t>
        </is>
      </c>
    </row>
    <row r="27">
      <c r="A27" s="21" t="n">
        <v>23</v>
      </c>
      <c r="B27" t="inlineStr">
        <is>
          <t>@jake_levine</t>
        </is>
      </c>
      <c r="C27" t="inlineStr">
        <is>
          <t>Jake Levine</t>
        </is>
      </c>
      <c r="D27" t="inlineStr">
        <is>
          <t>Talents &amp; Créativité</t>
        </is>
      </c>
      <c r="E27" t="inlineStr">
        <is>
          <t>Micro/Nano (&lt;1M)</t>
        </is>
      </c>
      <c r="F27" s="17" t="n">
        <v>1000000</v>
      </c>
      <c r="G27" s="21" t="n">
        <v>50</v>
      </c>
      <c r="H27" s="17" t="n">
        <v>44200000</v>
      </c>
      <c r="I27" s="17" t="n">
        <v>10200000</v>
      </c>
      <c r="J27" s="17" t="n">
        <v>26500</v>
      </c>
      <c r="K27" s="17" t="n">
        <v>27000</v>
      </c>
      <c r="L27" s="17">
        <f>I27+J27+K27</f>
        <v/>
      </c>
      <c r="M27" s="19">
        <f>L27/H27</f>
        <v/>
      </c>
      <c r="N27" s="18">
        <f>H27/F27</f>
        <v/>
      </c>
      <c r="O27" s="21" t="inlineStr">
        <is>
          <t>Non</t>
        </is>
      </c>
      <c r="P27" s="21" t="inlineStr">
        <is>
          <t>Non</t>
        </is>
      </c>
    </row>
    <row r="28">
      <c r="A28" s="25" t="n">
        <v>24</v>
      </c>
      <c r="B28" s="13" t="inlineStr">
        <is>
          <t>@ibc_kid</t>
        </is>
      </c>
      <c r="C28" s="13" t="inlineStr">
        <is>
          <t>🌬💨𝕚𝕓𝕔_𝕜𝕚𝕕✪🕳</t>
        </is>
      </c>
      <c r="D28" s="13" t="inlineStr">
        <is>
          <t>Famille &amp; Couple</t>
        </is>
      </c>
      <c r="E28" s="13" t="inlineStr">
        <is>
          <t>Micro/Nano (&lt;1M)</t>
        </is>
      </c>
      <c r="F28" s="14" t="n">
        <v>933700</v>
      </c>
      <c r="G28" s="25" t="n">
        <v>7</v>
      </c>
      <c r="H28" s="14" t="n">
        <v>63700000</v>
      </c>
      <c r="I28" s="14" t="n">
        <v>10100000</v>
      </c>
      <c r="J28" s="14" t="n">
        <v>93500</v>
      </c>
      <c r="K28" s="14" t="n">
        <v>277100</v>
      </c>
      <c r="L28" s="14">
        <f>I28+J28+K28</f>
        <v/>
      </c>
      <c r="M28" s="16">
        <f>L28/H28</f>
        <v/>
      </c>
      <c r="N28" s="15">
        <f>H28/F28</f>
        <v/>
      </c>
      <c r="O28" s="25" t="inlineStr">
        <is>
          <t>Oui</t>
        </is>
      </c>
      <c r="P28" s="25" t="inlineStr">
        <is>
          <t>Non</t>
        </is>
      </c>
    </row>
    <row r="29">
      <c r="A29" s="21" t="n">
        <v>25</v>
      </c>
      <c r="B29" t="inlineStr">
        <is>
          <t>@arshsoni</t>
        </is>
      </c>
      <c r="C29" t="inlineStr">
        <is>
          <t>Arshdeep Soni</t>
        </is>
      </c>
      <c r="D29" t="inlineStr">
        <is>
          <t>Talents &amp; Créativité</t>
        </is>
      </c>
      <c r="E29" t="inlineStr">
        <is>
          <t>Mega (5M+)</t>
        </is>
      </c>
      <c r="F29" s="17" t="n">
        <v>9100000</v>
      </c>
      <c r="G29" s="21" t="n">
        <v>22</v>
      </c>
      <c r="H29" s="17" t="n">
        <v>112600000</v>
      </c>
      <c r="I29" s="17" t="n">
        <v>10000000</v>
      </c>
      <c r="J29" s="17" t="n">
        <v>14100</v>
      </c>
      <c r="K29" s="17" t="n">
        <v>39600</v>
      </c>
      <c r="L29" s="17">
        <f>I29+J29+K29</f>
        <v/>
      </c>
      <c r="M29" s="19">
        <f>L29/H29</f>
        <v/>
      </c>
      <c r="N29" s="18">
        <f>H29/F29</f>
        <v/>
      </c>
      <c r="O29" s="21" t="inlineStr">
        <is>
          <t>Oui</t>
        </is>
      </c>
      <c r="P29" s="21" t="inlineStr">
        <is>
          <t>Oui</t>
        </is>
      </c>
    </row>
    <row r="30">
      <c r="A30" s="25" t="n">
        <v>26</v>
      </c>
      <c r="B30" s="13" t="inlineStr">
        <is>
          <t>@ox_zung</t>
        </is>
      </c>
      <c r="C30" s="13" t="inlineStr">
        <is>
          <t>원정맨 WonJeong</t>
        </is>
      </c>
      <c r="D30" s="13" t="inlineStr">
        <is>
          <t>Humour &amp; Sketch</t>
        </is>
      </c>
      <c r="E30" s="13" t="inlineStr">
        <is>
          <t>Mega (5M+)</t>
        </is>
      </c>
      <c r="F30" s="14" t="n">
        <v>27400000</v>
      </c>
      <c r="G30" s="25" t="n">
        <v>13</v>
      </c>
      <c r="H30" s="14" t="n">
        <v>54200000</v>
      </c>
      <c r="I30" s="14" t="n">
        <v>10000000</v>
      </c>
      <c r="J30" s="14" t="n">
        <v>94100</v>
      </c>
      <c r="K30" s="14" t="n">
        <v>78600</v>
      </c>
      <c r="L30" s="14">
        <f>I30+J30+K30</f>
        <v/>
      </c>
      <c r="M30" s="16">
        <f>L30/H30</f>
        <v/>
      </c>
      <c r="N30" s="15">
        <f>H30/F30</f>
        <v/>
      </c>
      <c r="O30" s="25" t="inlineStr">
        <is>
          <t>Non</t>
        </is>
      </c>
      <c r="P30" s="25" t="inlineStr">
        <is>
          <t>Oui</t>
        </is>
      </c>
    </row>
    <row r="31">
      <c r="A31" s="21" t="n">
        <v>27</v>
      </c>
      <c r="B31" t="inlineStr">
        <is>
          <t>@tae3on</t>
        </is>
      </c>
      <c r="C31" t="inlineStr">
        <is>
          <t>ITaeC</t>
        </is>
      </c>
      <c r="D31" t="inlineStr">
        <is>
          <t>Humour &amp; Sketch</t>
        </is>
      </c>
      <c r="E31" t="inlineStr">
        <is>
          <t>Mid/Macro (1M-5M)</t>
        </is>
      </c>
      <c r="F31" s="17" t="n">
        <v>1800000</v>
      </c>
      <c r="G31" s="21" t="n">
        <v>15</v>
      </c>
      <c r="H31" s="17" t="n">
        <v>48300000</v>
      </c>
      <c r="I31" s="17" t="n">
        <v>9900000</v>
      </c>
      <c r="J31" s="17" t="n">
        <v>63100</v>
      </c>
      <c r="K31" s="17" t="n">
        <v>312000</v>
      </c>
      <c r="L31" s="17">
        <f>I31+J31+K31</f>
        <v/>
      </c>
      <c r="M31" s="19">
        <f>L31/H31</f>
        <v/>
      </c>
      <c r="N31" s="18">
        <f>H31/F31</f>
        <v/>
      </c>
      <c r="O31" s="21" t="inlineStr">
        <is>
          <t>Non</t>
        </is>
      </c>
      <c r="P31" s="21" t="inlineStr">
        <is>
          <t>Non</t>
        </is>
      </c>
    </row>
    <row r="32">
      <c r="A32" s="25" t="n">
        <v>28</v>
      </c>
      <c r="B32" s="13" t="inlineStr">
        <is>
          <t>@bobbymoore44</t>
        </is>
      </c>
      <c r="C32" s="13" t="inlineStr">
        <is>
          <t>Bobby Moore</t>
        </is>
      </c>
      <c r="D32" s="13" t="inlineStr">
        <is>
          <t>Humour &amp; Sketch</t>
        </is>
      </c>
      <c r="E32" s="13" t="inlineStr">
        <is>
          <t>Mega (5M+)</t>
        </is>
      </c>
      <c r="F32" s="14" t="n">
        <v>7900000</v>
      </c>
      <c r="G32" s="25" t="n">
        <v>9</v>
      </c>
      <c r="H32" s="14" t="n">
        <v>49600000</v>
      </c>
      <c r="I32" s="14" t="n">
        <v>9900000</v>
      </c>
      <c r="J32" s="14" t="n">
        <v>41200</v>
      </c>
      <c r="K32" s="14" t="n">
        <v>536500</v>
      </c>
      <c r="L32" s="14">
        <f>I32+J32+K32</f>
        <v/>
      </c>
      <c r="M32" s="16">
        <f>L32/H32</f>
        <v/>
      </c>
      <c r="N32" s="15">
        <f>H32/F32</f>
        <v/>
      </c>
      <c r="O32" s="25" t="inlineStr">
        <is>
          <t>Non</t>
        </is>
      </c>
      <c r="P32" s="25" t="inlineStr">
        <is>
          <t>Oui</t>
        </is>
      </c>
    </row>
    <row r="33">
      <c r="A33" s="21" t="n">
        <v>29</v>
      </c>
      <c r="B33" t="inlineStr">
        <is>
          <t>@memezar</t>
        </is>
      </c>
      <c r="C33" t="inlineStr">
        <is>
          <t>memezar</t>
        </is>
      </c>
      <c r="D33" t="inlineStr">
        <is>
          <t>Humour &amp; Sketch</t>
        </is>
      </c>
      <c r="E33" t="inlineStr">
        <is>
          <t>Mega (5M+)</t>
        </is>
      </c>
      <c r="F33" s="17" t="n">
        <v>6300000</v>
      </c>
      <c r="G33" s="21" t="n">
        <v>52</v>
      </c>
      <c r="H33" s="17" t="n">
        <v>55200000</v>
      </c>
      <c r="I33" s="17" t="n">
        <v>9700000</v>
      </c>
      <c r="J33" s="17" t="n">
        <v>99000</v>
      </c>
      <c r="K33" s="17" t="n">
        <v>712400</v>
      </c>
      <c r="L33" s="17">
        <f>I33+J33+K33</f>
        <v/>
      </c>
      <c r="M33" s="19">
        <f>L33/H33</f>
        <v/>
      </c>
      <c r="N33" s="18">
        <f>H33/F33</f>
        <v/>
      </c>
      <c r="O33" s="21" t="inlineStr">
        <is>
          <t>Oui</t>
        </is>
      </c>
      <c r="P33" s="21" t="inlineStr">
        <is>
          <t>Oui</t>
        </is>
      </c>
    </row>
    <row r="34">
      <c r="A34" s="25" t="n">
        <v>30</v>
      </c>
      <c r="B34" s="13" t="inlineStr">
        <is>
          <t>@onlee1momo</t>
        </is>
      </c>
      <c r="C34" s="13" t="inlineStr">
        <is>
          <t>onlee1momo</t>
        </is>
      </c>
      <c r="D34" s="13" t="inlineStr">
        <is>
          <t>Famille &amp; Couple</t>
        </is>
      </c>
      <c r="E34" s="13" t="inlineStr">
        <is>
          <t>Micro/Nano (&lt;1M)</t>
        </is>
      </c>
      <c r="F34" s="14" t="n">
        <v>362600</v>
      </c>
      <c r="G34" s="25" t="n">
        <v>9</v>
      </c>
      <c r="H34" s="14" t="n">
        <v>66000000</v>
      </c>
      <c r="I34" s="14" t="n">
        <v>9700000</v>
      </c>
      <c r="J34" s="14" t="n">
        <v>541500</v>
      </c>
      <c r="K34" s="14" t="n">
        <v>846900</v>
      </c>
      <c r="L34" s="14">
        <f>I34+J34+K34</f>
        <v/>
      </c>
      <c r="M34" s="16">
        <f>L34/H34</f>
        <v/>
      </c>
      <c r="N34" s="15">
        <f>H34/F34</f>
        <v/>
      </c>
      <c r="O34" s="25" t="inlineStr">
        <is>
          <t>Oui</t>
        </is>
      </c>
      <c r="P34" s="25" t="inlineStr">
        <is>
          <t>Non</t>
        </is>
      </c>
    </row>
    <row r="35">
      <c r="A35" s="21" t="n">
        <v>31</v>
      </c>
      <c r="B35" t="inlineStr">
        <is>
          <t>@taylorevereth</t>
        </is>
      </c>
      <c r="C35" t="inlineStr">
        <is>
          <t>Taylor Evereth</t>
        </is>
      </c>
      <c r="D35" t="inlineStr">
        <is>
          <t>Humour &amp; Sketch</t>
        </is>
      </c>
      <c r="E35" t="inlineStr">
        <is>
          <t>Micro/Nano (&lt;1M)</t>
        </is>
      </c>
      <c r="F35" s="17" t="n">
        <v>158600</v>
      </c>
      <c r="G35" s="21" t="n">
        <v>14</v>
      </c>
      <c r="H35" s="17" t="n">
        <v>42800000</v>
      </c>
      <c r="I35" s="17" t="n">
        <v>9700000</v>
      </c>
      <c r="J35" s="17" t="n">
        <v>48100</v>
      </c>
      <c r="K35" s="17" t="n">
        <v>82700</v>
      </c>
      <c r="L35" s="17">
        <f>I35+J35+K35</f>
        <v/>
      </c>
      <c r="M35" s="19">
        <f>L35/H35</f>
        <v/>
      </c>
      <c r="N35" s="18">
        <f>H35/F35</f>
        <v/>
      </c>
      <c r="O35" s="21" t="inlineStr">
        <is>
          <t>Non</t>
        </is>
      </c>
      <c r="P35" s="21" t="inlineStr">
        <is>
          <t>Non</t>
        </is>
      </c>
    </row>
    <row r="36">
      <c r="A36" s="25" t="n">
        <v>32</v>
      </c>
      <c r="B36" s="13" t="inlineStr">
        <is>
          <t>@jordi.koalitic</t>
        </is>
      </c>
      <c r="C36" s="13" t="inlineStr">
        <is>
          <t xml:space="preserve">@Jordi.koalitic </t>
        </is>
      </c>
      <c r="D36" s="13" t="inlineStr">
        <is>
          <t>Talents &amp; Créativité</t>
        </is>
      </c>
      <c r="E36" s="13" t="inlineStr">
        <is>
          <t>Mega (5M+)</t>
        </is>
      </c>
      <c r="F36" s="14" t="n">
        <v>19700000</v>
      </c>
      <c r="G36" s="25" t="n">
        <v>11</v>
      </c>
      <c r="H36" s="14" t="n">
        <v>74400000</v>
      </c>
      <c r="I36" s="14" t="n">
        <v>9500000</v>
      </c>
      <c r="J36" s="14" t="n">
        <v>27600</v>
      </c>
      <c r="K36" s="14" t="n">
        <v>103400</v>
      </c>
      <c r="L36" s="14">
        <f>I36+J36+K36</f>
        <v/>
      </c>
      <c r="M36" s="16">
        <f>L36/H36</f>
        <v/>
      </c>
      <c r="N36" s="15">
        <f>H36/F36</f>
        <v/>
      </c>
      <c r="O36" s="25" t="inlineStr">
        <is>
          <t>Non</t>
        </is>
      </c>
      <c r="P36" s="25" t="inlineStr">
        <is>
          <t>Oui</t>
        </is>
      </c>
    </row>
    <row r="37">
      <c r="A37" s="21" t="n">
        <v>33</v>
      </c>
      <c r="B37" t="inlineStr">
        <is>
          <t>@rosssmith</t>
        </is>
      </c>
      <c r="C37" t="inlineStr">
        <is>
          <t>Ross Smith</t>
        </is>
      </c>
      <c r="D37" t="inlineStr">
        <is>
          <t>Humour &amp; Sketch</t>
        </is>
      </c>
      <c r="E37" t="inlineStr">
        <is>
          <t>Mega (5M+)</t>
        </is>
      </c>
      <c r="F37" s="17" t="n">
        <v>18400000</v>
      </c>
      <c r="G37" s="21" t="n">
        <v>34</v>
      </c>
      <c r="H37" s="17" t="n">
        <v>42700000</v>
      </c>
      <c r="I37" s="17" t="n">
        <v>9400000</v>
      </c>
      <c r="J37" s="17" t="n">
        <v>88800</v>
      </c>
      <c r="K37" s="17" t="n">
        <v>242200</v>
      </c>
      <c r="L37" s="17">
        <f>I37+J37+K37</f>
        <v/>
      </c>
      <c r="M37" s="19">
        <f>L37/H37</f>
        <v/>
      </c>
      <c r="N37" s="18">
        <f>H37/F37</f>
        <v/>
      </c>
      <c r="O37" s="21" t="inlineStr">
        <is>
          <t>Oui</t>
        </is>
      </c>
      <c r="P37" s="21" t="inlineStr">
        <is>
          <t>Oui</t>
        </is>
      </c>
    </row>
    <row r="38">
      <c r="A38" s="25" t="n">
        <v>34</v>
      </c>
      <c r="B38" s="13" t="inlineStr">
        <is>
          <t>@ludwig441</t>
        </is>
      </c>
      <c r="C38" s="13" t="inlineStr">
        <is>
          <t>Chan</t>
        </is>
      </c>
      <c r="D38" s="13" t="inlineStr">
        <is>
          <t>Animaux &amp; Pets</t>
        </is>
      </c>
      <c r="E38" s="13" t="inlineStr">
        <is>
          <t>Micro/Nano (&lt;1M)</t>
        </is>
      </c>
      <c r="F38" s="14" t="n">
        <v>614100</v>
      </c>
      <c r="G38" s="25" t="n">
        <v>27</v>
      </c>
      <c r="H38" s="14" t="n">
        <v>46300000</v>
      </c>
      <c r="I38" s="14" t="n">
        <v>9300000</v>
      </c>
      <c r="J38" s="14" t="n">
        <v>146200</v>
      </c>
      <c r="K38" s="14" t="n">
        <v>210900</v>
      </c>
      <c r="L38" s="14">
        <f>I38+J38+K38</f>
        <v/>
      </c>
      <c r="M38" s="16">
        <f>L38/H38</f>
        <v/>
      </c>
      <c r="N38" s="15">
        <f>H38/F38</f>
        <v/>
      </c>
      <c r="O38" s="25" t="inlineStr">
        <is>
          <t>Non</t>
        </is>
      </c>
      <c r="P38" s="25" t="inlineStr">
        <is>
          <t>Non</t>
        </is>
      </c>
    </row>
    <row r="39">
      <c r="A39" s="21" t="n">
        <v>35</v>
      </c>
      <c r="B39" t="inlineStr">
        <is>
          <t>@shelbieanddom</t>
        </is>
      </c>
      <c r="C39" t="inlineStr">
        <is>
          <t>Shelbie and Dom</t>
        </is>
      </c>
      <c r="D39" t="inlineStr">
        <is>
          <t>Humour &amp; Sketch</t>
        </is>
      </c>
      <c r="E39" t="inlineStr">
        <is>
          <t>Micro/Nano (&lt;1M)</t>
        </is>
      </c>
      <c r="F39" s="17" t="n">
        <v>346800</v>
      </c>
      <c r="G39" s="21" t="n">
        <v>44</v>
      </c>
      <c r="H39" s="17" t="n">
        <v>50900000</v>
      </c>
      <c r="I39" s="17" t="n">
        <v>9300000</v>
      </c>
      <c r="J39" s="17" t="n">
        <v>90000</v>
      </c>
      <c r="K39" s="17" t="n">
        <v>89600</v>
      </c>
      <c r="L39" s="17">
        <f>I39+J39+K39</f>
        <v/>
      </c>
      <c r="M39" s="19">
        <f>L39/H39</f>
        <v/>
      </c>
      <c r="N39" s="18">
        <f>H39/F39</f>
        <v/>
      </c>
      <c r="O39" s="21" t="inlineStr">
        <is>
          <t>Non</t>
        </is>
      </c>
      <c r="P39" s="21" t="inlineStr">
        <is>
          <t>Non</t>
        </is>
      </c>
    </row>
    <row r="40">
      <c r="A40" s="25" t="n">
        <v>36</v>
      </c>
      <c r="B40" s="13" t="inlineStr">
        <is>
          <t>@daquan</t>
        </is>
      </c>
      <c r="C40" s="13" t="inlineStr">
        <is>
          <t>daquan</t>
        </is>
      </c>
      <c r="D40" s="13" t="inlineStr">
        <is>
          <t>Humour &amp; Sketch</t>
        </is>
      </c>
      <c r="E40" s="13" t="inlineStr">
        <is>
          <t>Mega (5M+)</t>
        </is>
      </c>
      <c r="F40" s="14" t="n">
        <v>8700000</v>
      </c>
      <c r="G40" s="25" t="n">
        <v>46</v>
      </c>
      <c r="H40" s="14" t="n">
        <v>51900000</v>
      </c>
      <c r="I40" s="14" t="n">
        <v>9100000</v>
      </c>
      <c r="J40" s="14" t="n">
        <v>71500</v>
      </c>
      <c r="K40" s="14" t="n">
        <v>349700</v>
      </c>
      <c r="L40" s="14">
        <f>I40+J40+K40</f>
        <v/>
      </c>
      <c r="M40" s="16">
        <f>L40/H40</f>
        <v/>
      </c>
      <c r="N40" s="15">
        <f>H40/F40</f>
        <v/>
      </c>
      <c r="O40" s="25" t="inlineStr">
        <is>
          <t>Oui</t>
        </is>
      </c>
      <c r="P40" s="25" t="inlineStr">
        <is>
          <t>Oui</t>
        </is>
      </c>
    </row>
    <row r="41">
      <c r="A41" s="21" t="n">
        <v>37</v>
      </c>
      <c r="B41" t="inlineStr">
        <is>
          <t>@illustrationcandy</t>
        </is>
      </c>
      <c r="C41" t="inlineStr">
        <is>
          <t>Illustration Candy</t>
        </is>
      </c>
      <c r="D41" t="inlineStr">
        <is>
          <t>Talents &amp; Créativité</t>
        </is>
      </c>
      <c r="E41" t="inlineStr">
        <is>
          <t>Mid/Macro (1M-5M)</t>
        </is>
      </c>
      <c r="F41" s="17" t="n">
        <v>2300000</v>
      </c>
      <c r="G41" s="21" t="n">
        <v>59</v>
      </c>
      <c r="H41" s="17" t="n">
        <v>45200000</v>
      </c>
      <c r="I41" s="17" t="n">
        <v>9100000</v>
      </c>
      <c r="J41" s="17" t="n">
        <v>46900</v>
      </c>
      <c r="K41" s="17" t="n">
        <v>86100</v>
      </c>
      <c r="L41" s="17">
        <f>I41+J41+K41</f>
        <v/>
      </c>
      <c r="M41" s="19">
        <f>L41/H41</f>
        <v/>
      </c>
      <c r="N41" s="18">
        <f>H41/F41</f>
        <v/>
      </c>
      <c r="O41" s="21" t="inlineStr">
        <is>
          <t>Oui</t>
        </is>
      </c>
      <c r="P41" s="21" t="inlineStr">
        <is>
          <t>Non</t>
        </is>
      </c>
    </row>
    <row r="42">
      <c r="A42" s="25" t="n">
        <v>38</v>
      </c>
      <c r="B42" s="13" t="inlineStr">
        <is>
          <t>@ox_zung</t>
        </is>
      </c>
      <c r="C42" s="13" t="inlineStr">
        <is>
          <t>원정맨 WonJeong</t>
        </is>
      </c>
      <c r="D42" s="13" t="inlineStr">
        <is>
          <t>Humour &amp; Sketch</t>
        </is>
      </c>
      <c r="E42" s="13" t="inlineStr">
        <is>
          <t>Mega (5M+)</t>
        </is>
      </c>
      <c r="F42" s="14" t="n">
        <v>27400000</v>
      </c>
      <c r="G42" s="25" t="n">
        <v>17</v>
      </c>
      <c r="H42" s="14" t="n">
        <v>85700000</v>
      </c>
      <c r="I42" s="14" t="n">
        <v>9100000</v>
      </c>
      <c r="J42" s="14" t="n">
        <v>47100</v>
      </c>
      <c r="K42" s="14" t="n">
        <v>33900</v>
      </c>
      <c r="L42" s="14">
        <f>I42+J42+K42</f>
        <v/>
      </c>
      <c r="M42" s="16">
        <f>L42/H42</f>
        <v/>
      </c>
      <c r="N42" s="15">
        <f>H42/F42</f>
        <v/>
      </c>
      <c r="O42" s="25" t="inlineStr">
        <is>
          <t>Oui</t>
        </is>
      </c>
      <c r="P42" s="25" t="inlineStr">
        <is>
          <t>Oui</t>
        </is>
      </c>
    </row>
    <row r="43">
      <c r="A43" s="21" t="n">
        <v>39</v>
      </c>
      <c r="B43" t="inlineStr">
        <is>
          <t>@scooterforlifee</t>
        </is>
      </c>
      <c r="C43" t="inlineStr">
        <is>
          <t>scooterforlifee</t>
        </is>
      </c>
      <c r="D43" t="inlineStr">
        <is>
          <t>Humour &amp; Sketch</t>
        </is>
      </c>
      <c r="E43" t="inlineStr">
        <is>
          <t>Micro/Nano (&lt;1M)</t>
        </is>
      </c>
      <c r="F43" s="17" t="n">
        <v>256100</v>
      </c>
      <c r="G43" s="21" t="n">
        <v>10</v>
      </c>
      <c r="H43" s="17" t="n">
        <v>48100000</v>
      </c>
      <c r="I43" s="17" t="n">
        <v>9000000</v>
      </c>
      <c r="J43" s="17" t="n">
        <v>110400</v>
      </c>
      <c r="K43" s="17" t="n">
        <v>269700</v>
      </c>
      <c r="L43" s="17">
        <f>I43+J43+K43</f>
        <v/>
      </c>
      <c r="M43" s="19">
        <f>L43/H43</f>
        <v/>
      </c>
      <c r="N43" s="18">
        <f>H43/F43</f>
        <v/>
      </c>
      <c r="O43" s="21" t="inlineStr">
        <is>
          <t>Oui</t>
        </is>
      </c>
      <c r="P43" s="21" t="inlineStr">
        <is>
          <t>Non</t>
        </is>
      </c>
    </row>
    <row r="44">
      <c r="A44" s="25" t="n">
        <v>40</v>
      </c>
      <c r="B44" s="13" t="inlineStr">
        <is>
          <t>@iammarcohall</t>
        </is>
      </c>
      <c r="C44" s="13" t="inlineStr">
        <is>
          <t>Marco Hall</t>
        </is>
      </c>
      <c r="D44" s="13" t="inlineStr">
        <is>
          <t>Famille &amp; Couple</t>
        </is>
      </c>
      <c r="E44" s="13" t="inlineStr">
        <is>
          <t>Mega (5M+)</t>
        </is>
      </c>
      <c r="F44" s="14" t="n">
        <v>6500000</v>
      </c>
      <c r="G44" s="25" t="n">
        <v>35</v>
      </c>
      <c r="H44" s="14" t="n">
        <v>49400000</v>
      </c>
      <c r="I44" s="14" t="n">
        <v>8900000</v>
      </c>
      <c r="J44" s="14" t="n">
        <v>93800</v>
      </c>
      <c r="K44" s="14" t="n">
        <v>253400</v>
      </c>
      <c r="L44" s="14">
        <f>I44+J44+K44</f>
        <v/>
      </c>
      <c r="M44" s="16">
        <f>L44/H44</f>
        <v/>
      </c>
      <c r="N44" s="15">
        <f>H44/F44</f>
        <v/>
      </c>
      <c r="O44" s="25" t="inlineStr">
        <is>
          <t>Non</t>
        </is>
      </c>
      <c r="P44" s="25" t="inlineStr">
        <is>
          <t>Oui</t>
        </is>
      </c>
    </row>
    <row r="45">
      <c r="A45" s="21" t="n">
        <v>41</v>
      </c>
      <c r="B45" t="inlineStr">
        <is>
          <t>@samuelgrubbs</t>
        </is>
      </c>
      <c r="C45" t="inlineStr">
        <is>
          <t>Samuel Grubbs</t>
        </is>
      </c>
      <c r="D45" t="inlineStr">
        <is>
          <t>Humour &amp; Sketch</t>
        </is>
      </c>
      <c r="E45" t="inlineStr">
        <is>
          <t>Mega (5M+)</t>
        </is>
      </c>
      <c r="F45" s="17" t="n">
        <v>7900000</v>
      </c>
      <c r="G45" s="21" t="n">
        <v>10</v>
      </c>
      <c r="H45" s="17" t="n">
        <v>61400000</v>
      </c>
      <c r="I45" s="17" t="n">
        <v>8900000</v>
      </c>
      <c r="J45" s="17" t="n">
        <v>107300</v>
      </c>
      <c r="K45" s="17" t="n">
        <v>231100</v>
      </c>
      <c r="L45" s="17">
        <f>I45+J45+K45</f>
        <v/>
      </c>
      <c r="M45" s="19">
        <f>L45/H45</f>
        <v/>
      </c>
      <c r="N45" s="18">
        <f>H45/F45</f>
        <v/>
      </c>
      <c r="O45" s="21" t="inlineStr">
        <is>
          <t>Oui</t>
        </is>
      </c>
      <c r="P45" s="21" t="inlineStr">
        <is>
          <t>Oui</t>
        </is>
      </c>
    </row>
    <row r="46">
      <c r="A46" s="25" t="n">
        <v>42</v>
      </c>
      <c r="B46" s="13" t="inlineStr">
        <is>
          <t>@mully</t>
        </is>
      </c>
      <c r="C46" s="13" t="inlineStr">
        <is>
          <t>Mully</t>
        </is>
      </c>
      <c r="D46" s="13" t="inlineStr">
        <is>
          <t>Famille &amp; Couple</t>
        </is>
      </c>
      <c r="E46" s="13" t="inlineStr">
        <is>
          <t>Mega (5M+)</t>
        </is>
      </c>
      <c r="F46" s="14" t="n">
        <v>10400000</v>
      </c>
      <c r="G46" s="25" t="n">
        <v>10</v>
      </c>
      <c r="H46" s="14" t="n">
        <v>60700000</v>
      </c>
      <c r="I46" s="14" t="n">
        <v>8800000</v>
      </c>
      <c r="J46" s="14" t="n">
        <v>57000</v>
      </c>
      <c r="K46" s="14" t="n">
        <v>514600</v>
      </c>
      <c r="L46" s="14">
        <f>I46+J46+K46</f>
        <v/>
      </c>
      <c r="M46" s="16">
        <f>L46/H46</f>
        <v/>
      </c>
      <c r="N46" s="15">
        <f>H46/F46</f>
        <v/>
      </c>
      <c r="O46" s="25" t="inlineStr">
        <is>
          <t>Oui</t>
        </is>
      </c>
      <c r="P46" s="25" t="inlineStr">
        <is>
          <t>Oui</t>
        </is>
      </c>
    </row>
    <row r="47">
      <c r="A47" s="21" t="n">
        <v>43</v>
      </c>
      <c r="B47" t="inlineStr">
        <is>
          <t>@coreythebagel</t>
        </is>
      </c>
      <c r="C47" t="inlineStr">
        <is>
          <t>corey🥯</t>
        </is>
      </c>
      <c r="D47" t="inlineStr">
        <is>
          <t>Animaux &amp; Pets</t>
        </is>
      </c>
      <c r="E47" t="inlineStr">
        <is>
          <t>Mid/Macro (1M-5M)</t>
        </is>
      </c>
      <c r="F47" s="17" t="n">
        <v>2300000</v>
      </c>
      <c r="G47" s="21" t="n">
        <v>19</v>
      </c>
      <c r="H47" s="17" t="n">
        <v>43300000</v>
      </c>
      <c r="I47" s="17" t="n">
        <v>8700000</v>
      </c>
      <c r="J47" s="17" t="n">
        <v>80800</v>
      </c>
      <c r="K47" s="17" t="n">
        <v>784100</v>
      </c>
      <c r="L47" s="17">
        <f>I47+J47+K47</f>
        <v/>
      </c>
      <c r="M47" s="19">
        <f>L47/H47</f>
        <v/>
      </c>
      <c r="N47" s="18">
        <f>H47/F47</f>
        <v/>
      </c>
      <c r="O47" s="21" t="inlineStr">
        <is>
          <t>Non</t>
        </is>
      </c>
      <c r="P47" s="21" t="inlineStr">
        <is>
          <t>Non</t>
        </is>
      </c>
    </row>
    <row r="48">
      <c r="A48" s="25" t="n">
        <v>44</v>
      </c>
      <c r="B48" s="13" t="inlineStr">
        <is>
          <t>@samuelgrubbs</t>
        </is>
      </c>
      <c r="C48" s="13" t="inlineStr">
        <is>
          <t>Samuel Grubbs</t>
        </is>
      </c>
      <c r="D48" s="13" t="inlineStr">
        <is>
          <t>Humour &amp; Sketch</t>
        </is>
      </c>
      <c r="E48" s="13" t="inlineStr">
        <is>
          <t>Mega (5M+)</t>
        </is>
      </c>
      <c r="F48" s="14" t="n">
        <v>7900000</v>
      </c>
      <c r="G48" s="25" t="n">
        <v>14</v>
      </c>
      <c r="H48" s="14" t="n">
        <v>49700000</v>
      </c>
      <c r="I48" s="14" t="n">
        <v>8700000</v>
      </c>
      <c r="J48" s="14" t="n">
        <v>143200</v>
      </c>
      <c r="K48" s="14" t="n">
        <v>330900</v>
      </c>
      <c r="L48" s="14">
        <f>I48+J48+K48</f>
        <v/>
      </c>
      <c r="M48" s="16">
        <f>L48/H48</f>
        <v/>
      </c>
      <c r="N48" s="15">
        <f>H48/F48</f>
        <v/>
      </c>
      <c r="O48" s="25" t="inlineStr">
        <is>
          <t>Oui</t>
        </is>
      </c>
      <c r="P48" s="25" t="inlineStr">
        <is>
          <t>Oui</t>
        </is>
      </c>
    </row>
    <row r="49">
      <c r="A49" s="21" t="n">
        <v>45</v>
      </c>
      <c r="B49" t="inlineStr">
        <is>
          <t>@danfart</t>
        </is>
      </c>
      <c r="C49" t="inlineStr">
        <is>
          <t>dan</t>
        </is>
      </c>
      <c r="D49" t="inlineStr">
        <is>
          <t>Talents &amp; Créativité</t>
        </is>
      </c>
      <c r="E49" t="inlineStr">
        <is>
          <t>Mid/Macro (1M-5M)</t>
        </is>
      </c>
      <c r="F49" s="17" t="n">
        <v>4500000</v>
      </c>
      <c r="G49" s="21" t="n">
        <v>53</v>
      </c>
      <c r="H49" s="17" t="n">
        <v>39200000</v>
      </c>
      <c r="I49" s="17" t="n">
        <v>8700000</v>
      </c>
      <c r="J49" s="17" t="n">
        <v>33400</v>
      </c>
      <c r="K49" s="17" t="n">
        <v>69300</v>
      </c>
      <c r="L49" s="17">
        <f>I49+J49+K49</f>
        <v/>
      </c>
      <c r="M49" s="19">
        <f>L49/H49</f>
        <v/>
      </c>
      <c r="N49" s="18">
        <f>H49/F49</f>
        <v/>
      </c>
      <c r="O49" s="21" t="inlineStr">
        <is>
          <t>Oui</t>
        </is>
      </c>
      <c r="P49" s="21" t="inlineStr">
        <is>
          <t>Non</t>
        </is>
      </c>
    </row>
    <row r="50">
      <c r="A50" s="25" t="n">
        <v>46</v>
      </c>
      <c r="B50" s="13" t="inlineStr">
        <is>
          <t>@daddyming</t>
        </is>
      </c>
      <c r="C50" s="13" t="inlineStr">
        <is>
          <t>DADDY MING 🦁</t>
        </is>
      </c>
      <c r="D50" s="13" t="inlineStr">
        <is>
          <t>Famille &amp; Couple</t>
        </is>
      </c>
      <c r="E50" s="13" t="inlineStr">
        <is>
          <t>Mega (5M+)</t>
        </is>
      </c>
      <c r="F50" s="14" t="n">
        <v>8700000</v>
      </c>
      <c r="G50" s="25" t="n">
        <v>21</v>
      </c>
      <c r="H50" s="14" t="n">
        <v>88200000</v>
      </c>
      <c r="I50" s="14" t="n">
        <v>8700000</v>
      </c>
      <c r="J50" s="14" t="n">
        <v>91500</v>
      </c>
      <c r="K50" s="14" t="n">
        <v>17100</v>
      </c>
      <c r="L50" s="14">
        <f>I50+J50+K50</f>
        <v/>
      </c>
      <c r="M50" s="16">
        <f>L50/H50</f>
        <v/>
      </c>
      <c r="N50" s="15">
        <f>H50/F50</f>
        <v/>
      </c>
      <c r="O50" s="25" t="inlineStr">
        <is>
          <t>Oui</t>
        </is>
      </c>
      <c r="P50" s="25" t="inlineStr">
        <is>
          <t>Oui</t>
        </is>
      </c>
    </row>
    <row r="51">
      <c r="A51" s="21" t="n">
        <v>47</v>
      </c>
      <c r="B51" t="inlineStr">
        <is>
          <t>@.johnfelix</t>
        </is>
      </c>
      <c r="C51" t="inlineStr">
        <is>
          <t>John Felix</t>
        </is>
      </c>
      <c r="D51" t="inlineStr">
        <is>
          <t>Sports &amp; Gaming</t>
        </is>
      </c>
      <c r="E51" t="inlineStr">
        <is>
          <t>Micro/Nano (&lt;1M)</t>
        </is>
      </c>
      <c r="F51" s="17" t="n">
        <v>376200</v>
      </c>
      <c r="G51" s="21" t="n">
        <v>29</v>
      </c>
      <c r="H51" s="17" t="n">
        <v>40200000</v>
      </c>
      <c r="I51" s="17" t="n">
        <v>8600000</v>
      </c>
      <c r="J51" s="17" t="n">
        <v>58100</v>
      </c>
      <c r="K51" s="17" t="n">
        <v>134900</v>
      </c>
      <c r="L51" s="17">
        <f>I51+J51+K51</f>
        <v/>
      </c>
      <c r="M51" s="19">
        <f>L51/H51</f>
        <v/>
      </c>
      <c r="N51" s="18">
        <f>H51/F51</f>
        <v/>
      </c>
      <c r="O51" s="21" t="inlineStr">
        <is>
          <t>Oui</t>
        </is>
      </c>
      <c r="P51" s="21" t="inlineStr">
        <is>
          <t>Non</t>
        </is>
      </c>
    </row>
    <row r="52">
      <c r="A52" s="25" t="n">
        <v>48</v>
      </c>
      <c r="B52" s="13" t="inlineStr">
        <is>
          <t>@herodw</t>
        </is>
      </c>
      <c r="C52" s="13" t="inlineStr">
        <is>
          <t>Hero DW</t>
        </is>
      </c>
      <c r="D52" s="13" t="inlineStr">
        <is>
          <t>Talents &amp; Créativité</t>
        </is>
      </c>
      <c r="E52" s="13" t="inlineStr">
        <is>
          <t>Mega (5M+)</t>
        </is>
      </c>
      <c r="F52" s="14" t="n">
        <v>5200000</v>
      </c>
      <c r="G52" s="25" t="n">
        <v>47</v>
      </c>
      <c r="H52" s="14" t="n">
        <v>40200000</v>
      </c>
      <c r="I52" s="14" t="n">
        <v>8600000</v>
      </c>
      <c r="J52" s="14" t="n">
        <v>43300</v>
      </c>
      <c r="K52" s="14" t="n">
        <v>56800</v>
      </c>
      <c r="L52" s="14">
        <f>I52+J52+K52</f>
        <v/>
      </c>
      <c r="M52" s="16">
        <f>L52/H52</f>
        <v/>
      </c>
      <c r="N52" s="15">
        <f>H52/F52</f>
        <v/>
      </c>
      <c r="O52" s="25" t="inlineStr">
        <is>
          <t>Non</t>
        </is>
      </c>
      <c r="P52" s="25" t="inlineStr">
        <is>
          <t>Non</t>
        </is>
      </c>
    </row>
    <row r="53">
      <c r="A53" s="21" t="n">
        <v>49</v>
      </c>
      <c r="B53" t="inlineStr">
        <is>
          <t>@ox_zung</t>
        </is>
      </c>
      <c r="C53" t="inlineStr">
        <is>
          <t>원정맨 WonJeong</t>
        </is>
      </c>
      <c r="D53" t="inlineStr">
        <is>
          <t>Humour &amp; Sketch</t>
        </is>
      </c>
      <c r="E53" t="inlineStr">
        <is>
          <t>Mega (5M+)</t>
        </is>
      </c>
      <c r="F53" s="17" t="n">
        <v>27400000</v>
      </c>
      <c r="G53" s="21" t="n">
        <v>9</v>
      </c>
      <c r="H53" s="17" t="n">
        <v>45800000</v>
      </c>
      <c r="I53" s="17" t="n">
        <v>8400000</v>
      </c>
      <c r="J53" s="17" t="n">
        <v>69000</v>
      </c>
      <c r="K53" s="17" t="n">
        <v>57200</v>
      </c>
      <c r="L53" s="17">
        <f>I53+J53+K53</f>
        <v/>
      </c>
      <c r="M53" s="19">
        <f>L53/H53</f>
        <v/>
      </c>
      <c r="N53" s="18">
        <f>H53/F53</f>
        <v/>
      </c>
      <c r="O53" s="21" t="inlineStr">
        <is>
          <t>Oui</t>
        </is>
      </c>
      <c r="P53" s="21" t="inlineStr">
        <is>
          <t>Oui</t>
        </is>
      </c>
    </row>
    <row r="54">
      <c r="A54" s="25" t="n">
        <v>50</v>
      </c>
      <c r="B54" s="13" t="inlineStr">
        <is>
          <t>@samayranarula</t>
        </is>
      </c>
      <c r="C54" s="13" t="inlineStr">
        <is>
          <t>Vinay Narula ❤</t>
        </is>
      </c>
      <c r="D54" s="13" t="inlineStr">
        <is>
          <t>Humour &amp; Sketch</t>
        </is>
      </c>
      <c r="E54" s="13" t="inlineStr">
        <is>
          <t>Mid/Macro (1M-5M)</t>
        </is>
      </c>
      <c r="F54" s="14" t="n">
        <v>4500000</v>
      </c>
      <c r="G54" s="25" t="n">
        <v>15</v>
      </c>
      <c r="H54" s="14" t="n">
        <v>123200000</v>
      </c>
      <c r="I54" s="14" t="n">
        <v>8400000</v>
      </c>
      <c r="J54" s="14" t="n">
        <v>17700</v>
      </c>
      <c r="K54" s="14" t="n">
        <v>152800</v>
      </c>
      <c r="L54" s="14">
        <f>I54+J54+K54</f>
        <v/>
      </c>
      <c r="M54" s="16">
        <f>L54/H54</f>
        <v/>
      </c>
      <c r="N54" s="15">
        <f>H54/F54</f>
        <v/>
      </c>
      <c r="O54" s="25" t="inlineStr">
        <is>
          <t>Oui</t>
        </is>
      </c>
      <c r="P54" s="25" t="inlineStr">
        <is>
          <t>Non</t>
        </is>
      </c>
    </row>
    <row r="55">
      <c r="A55" s="21" t="n">
        <v>51</v>
      </c>
      <c r="B55" t="inlineStr">
        <is>
          <t>@littel_johnny</t>
        </is>
      </c>
      <c r="C55" t="inlineStr">
        <is>
          <t>Littel Johnny</t>
        </is>
      </c>
      <c r="D55" t="inlineStr">
        <is>
          <t>Famille &amp; Couple</t>
        </is>
      </c>
      <c r="E55" t="inlineStr">
        <is>
          <t>Mega (5M+)</t>
        </is>
      </c>
      <c r="F55" s="17" t="n">
        <v>7300000</v>
      </c>
      <c r="G55" s="21" t="n">
        <v>47</v>
      </c>
      <c r="H55" s="17" t="n">
        <v>56600000</v>
      </c>
      <c r="I55" s="17" t="n">
        <v>8300000</v>
      </c>
      <c r="J55" s="17" t="n">
        <v>55900</v>
      </c>
      <c r="K55" s="17" t="n">
        <v>414200</v>
      </c>
      <c r="L55" s="17">
        <f>I55+J55+K55</f>
        <v/>
      </c>
      <c r="M55" s="19">
        <f>L55/H55</f>
        <v/>
      </c>
      <c r="N55" s="18">
        <f>H55/F55</f>
        <v/>
      </c>
      <c r="O55" s="21" t="inlineStr">
        <is>
          <t>Oui</t>
        </is>
      </c>
      <c r="P55" s="21" t="inlineStr">
        <is>
          <t>Non</t>
        </is>
      </c>
    </row>
    <row r="56">
      <c r="A56" s="25" t="n">
        <v>52</v>
      </c>
      <c r="B56" s="13" t="inlineStr">
        <is>
          <t>@jinsol_oh</t>
        </is>
      </c>
      <c r="C56" s="13" t="inlineStr">
        <is>
          <t>솔이</t>
        </is>
      </c>
      <c r="D56" s="13" t="inlineStr">
        <is>
          <t>Famille &amp; Couple</t>
        </is>
      </c>
      <c r="E56" s="13" t="inlineStr">
        <is>
          <t>Mid/Macro (1M-5M)</t>
        </is>
      </c>
      <c r="F56" s="14" t="n">
        <v>4400000</v>
      </c>
      <c r="G56" s="25" t="n">
        <v>14</v>
      </c>
      <c r="H56" s="14" t="n">
        <v>44500000</v>
      </c>
      <c r="I56" s="14" t="n">
        <v>8300000</v>
      </c>
      <c r="J56" s="14" t="n">
        <v>93800</v>
      </c>
      <c r="K56" s="14" t="n">
        <v>290600</v>
      </c>
      <c r="L56" s="14">
        <f>I56+J56+K56</f>
        <v/>
      </c>
      <c r="M56" s="16">
        <f>L56/H56</f>
        <v/>
      </c>
      <c r="N56" s="15">
        <f>H56/F56</f>
        <v/>
      </c>
      <c r="O56" s="25" t="inlineStr">
        <is>
          <t>Oui</t>
        </is>
      </c>
      <c r="P56" s="25" t="inlineStr">
        <is>
          <t>Oui</t>
        </is>
      </c>
    </row>
    <row r="57">
      <c r="A57" s="21" t="n">
        <v>53</v>
      </c>
      <c r="B57" t="inlineStr">
        <is>
          <t>@den1is01</t>
        </is>
      </c>
      <c r="C57" t="inlineStr">
        <is>
          <t>🦔 Memes 🍌</t>
        </is>
      </c>
      <c r="D57" t="inlineStr">
        <is>
          <t>Animaux &amp; Pets</t>
        </is>
      </c>
      <c r="E57" t="inlineStr">
        <is>
          <t>Micro/Nano (&lt;1M)</t>
        </is>
      </c>
      <c r="F57" s="17" t="n">
        <v>499800</v>
      </c>
      <c r="G57" s="21" t="n">
        <v>170</v>
      </c>
      <c r="H57" s="17" t="n">
        <v>28800000</v>
      </c>
      <c r="I57" s="17" t="n">
        <v>8200000</v>
      </c>
      <c r="J57" s="17" t="n">
        <v>74600</v>
      </c>
      <c r="K57" s="17" t="n">
        <v>227600</v>
      </c>
      <c r="L57" s="17">
        <f>I57+J57+K57</f>
        <v/>
      </c>
      <c r="M57" s="19">
        <f>L57/H57</f>
        <v/>
      </c>
      <c r="N57" s="18">
        <f>H57/F57</f>
        <v/>
      </c>
      <c r="O57" s="21" t="inlineStr">
        <is>
          <t>Oui</t>
        </is>
      </c>
      <c r="P57" s="21" t="inlineStr">
        <is>
          <t>Non</t>
        </is>
      </c>
    </row>
    <row r="58">
      <c r="A58" s="25" t="n">
        <v>54</v>
      </c>
      <c r="B58" s="13" t="inlineStr">
        <is>
          <t>@samuelgrubbs</t>
        </is>
      </c>
      <c r="C58" s="13" t="inlineStr">
        <is>
          <t>Samuel Grubbs</t>
        </is>
      </c>
      <c r="D58" s="13" t="inlineStr">
        <is>
          <t>Humour &amp; Sketch</t>
        </is>
      </c>
      <c r="E58" s="13" t="inlineStr">
        <is>
          <t>Mega (5M+)</t>
        </is>
      </c>
      <c r="F58" s="14" t="n">
        <v>7900000</v>
      </c>
      <c r="G58" s="25" t="n">
        <v>15</v>
      </c>
      <c r="H58" s="14" t="n">
        <v>46800000</v>
      </c>
      <c r="I58" s="14" t="n">
        <v>8100000</v>
      </c>
      <c r="J58" s="14" t="n">
        <v>44300</v>
      </c>
      <c r="K58" s="14" t="n">
        <v>268400</v>
      </c>
      <c r="L58" s="14">
        <f>I58+J58+K58</f>
        <v/>
      </c>
      <c r="M58" s="16">
        <f>L58/H58</f>
        <v/>
      </c>
      <c r="N58" s="15">
        <f>H58/F58</f>
        <v/>
      </c>
      <c r="O58" s="25" t="inlineStr">
        <is>
          <t>Oui</t>
        </is>
      </c>
      <c r="P58" s="25" t="inlineStr">
        <is>
          <t>Oui</t>
        </is>
      </c>
    </row>
    <row r="59">
      <c r="A59" s="21" t="n">
        <v>55</v>
      </c>
      <c r="B59" t="inlineStr">
        <is>
          <t>@supermassivemusic</t>
        </is>
      </c>
      <c r="C59" t="inlineStr">
        <is>
          <t>SUPERMASSIVE</t>
        </is>
      </c>
      <c r="D59" t="inlineStr">
        <is>
          <t>Animaux &amp; Pets</t>
        </is>
      </c>
      <c r="E59" t="inlineStr">
        <is>
          <t>Mid/Macro (1M-5M)</t>
        </is>
      </c>
      <c r="F59" s="17" t="n">
        <v>1400000</v>
      </c>
      <c r="G59" s="21" t="n">
        <v>30</v>
      </c>
      <c r="H59" s="17" t="n">
        <v>50900000</v>
      </c>
      <c r="I59" s="17" t="n">
        <v>8100000</v>
      </c>
      <c r="J59" s="17" t="n">
        <v>64900</v>
      </c>
      <c r="K59" s="17" t="n">
        <v>276100</v>
      </c>
      <c r="L59" s="17">
        <f>I59+J59+K59</f>
        <v/>
      </c>
      <c r="M59" s="19">
        <f>L59/H59</f>
        <v/>
      </c>
      <c r="N59" s="18">
        <f>H59/F59</f>
        <v/>
      </c>
      <c r="O59" s="21" t="inlineStr">
        <is>
          <t>Oui</t>
        </is>
      </c>
      <c r="P59" s="21" t="inlineStr">
        <is>
          <t>Oui</t>
        </is>
      </c>
    </row>
    <row r="60">
      <c r="A60" s="25" t="n">
        <v>56</v>
      </c>
      <c r="B60" s="13" t="inlineStr">
        <is>
          <t>@charliethechipmunk</t>
        </is>
      </c>
      <c r="C60" s="13" t="inlineStr">
        <is>
          <t>Charlie</t>
        </is>
      </c>
      <c r="D60" s="13" t="inlineStr">
        <is>
          <t>Humour &amp; Sketch</t>
        </is>
      </c>
      <c r="E60" s="13" t="inlineStr">
        <is>
          <t>Mid/Macro (1M-5M)</t>
        </is>
      </c>
      <c r="F60" s="14" t="n">
        <v>2400000</v>
      </c>
      <c r="G60" s="25" t="n">
        <v>16</v>
      </c>
      <c r="H60" s="14" t="n">
        <v>77000000</v>
      </c>
      <c r="I60" s="14" t="n">
        <v>8000000</v>
      </c>
      <c r="J60" s="14" t="n">
        <v>63100</v>
      </c>
      <c r="K60" s="14" t="n">
        <v>131900</v>
      </c>
      <c r="L60" s="14">
        <f>I60+J60+K60</f>
        <v/>
      </c>
      <c r="M60" s="16">
        <f>L60/H60</f>
        <v/>
      </c>
      <c r="N60" s="15">
        <f>H60/F60</f>
        <v/>
      </c>
      <c r="O60" s="25" t="inlineStr">
        <is>
          <t>Oui</t>
        </is>
      </c>
      <c r="P60" s="25" t="inlineStr">
        <is>
          <t>Non</t>
        </is>
      </c>
    </row>
    <row r="61">
      <c r="A61" s="21" t="n">
        <v>57</v>
      </c>
      <c r="B61" t="inlineStr">
        <is>
          <t>@thekhaleesicat</t>
        </is>
      </c>
      <c r="C61" t="inlineStr">
        <is>
          <t>Khaleesi</t>
        </is>
      </c>
      <c r="D61" t="inlineStr">
        <is>
          <t>Animaux &amp; Pets</t>
        </is>
      </c>
      <c r="E61" t="inlineStr">
        <is>
          <t>Mid/Macro (1M-5M)</t>
        </is>
      </c>
      <c r="F61" s="17" t="n">
        <v>1100000</v>
      </c>
      <c r="G61" s="21" t="n">
        <v>6</v>
      </c>
      <c r="H61" s="17" t="n">
        <v>100600000</v>
      </c>
      <c r="I61" s="17" t="n">
        <v>7900000</v>
      </c>
      <c r="J61" s="17" t="n">
        <v>80400</v>
      </c>
      <c r="K61" s="17" t="n">
        <v>488400</v>
      </c>
      <c r="L61" s="17">
        <f>I61+J61+K61</f>
        <v/>
      </c>
      <c r="M61" s="19">
        <f>L61/H61</f>
        <v/>
      </c>
      <c r="N61" s="18">
        <f>H61/F61</f>
        <v/>
      </c>
      <c r="O61" s="21" t="inlineStr">
        <is>
          <t>Oui</t>
        </is>
      </c>
      <c r="P61" s="21" t="inlineStr">
        <is>
          <t>Non</t>
        </is>
      </c>
    </row>
    <row r="62">
      <c r="A62" s="25" t="n">
        <v>58</v>
      </c>
      <c r="B62" s="13" t="inlineStr">
        <is>
          <t>@garnergang5x</t>
        </is>
      </c>
      <c r="C62" s="13" t="inlineStr">
        <is>
          <t>The Garner Family</t>
        </is>
      </c>
      <c r="D62" s="13" t="inlineStr">
        <is>
          <t>Talents &amp; Créativité</t>
        </is>
      </c>
      <c r="E62" s="13" t="inlineStr">
        <is>
          <t>Micro/Nano (&lt;1M)</t>
        </is>
      </c>
      <c r="F62" s="14" t="n">
        <v>533300</v>
      </c>
      <c r="G62" s="25" t="n">
        <v>59</v>
      </c>
      <c r="H62" s="14" t="n">
        <v>42700000</v>
      </c>
      <c r="I62" s="14" t="n">
        <v>7800000</v>
      </c>
      <c r="J62" s="14" t="n">
        <v>0</v>
      </c>
      <c r="K62" s="14" t="n">
        <v>256300</v>
      </c>
      <c r="L62" s="14">
        <f>I62+J62+K62</f>
        <v/>
      </c>
      <c r="M62" s="16">
        <f>L62/H62</f>
        <v/>
      </c>
      <c r="N62" s="15">
        <f>H62/F62</f>
        <v/>
      </c>
      <c r="O62" s="25" t="inlineStr">
        <is>
          <t>Oui</t>
        </is>
      </c>
      <c r="P62" s="25" t="inlineStr">
        <is>
          <t>Non</t>
        </is>
      </c>
    </row>
    <row r="63">
      <c r="A63" s="21" t="n">
        <v>59</v>
      </c>
      <c r="B63" t="inlineStr">
        <is>
          <t>@ox_zung</t>
        </is>
      </c>
      <c r="C63" t="inlineStr">
        <is>
          <t>원정맨 WonJeong</t>
        </is>
      </c>
      <c r="D63" t="inlineStr">
        <is>
          <t>Humour &amp; Sketch</t>
        </is>
      </c>
      <c r="E63" t="inlineStr">
        <is>
          <t>Mega (5M+)</t>
        </is>
      </c>
      <c r="F63" s="17" t="n">
        <v>27400000</v>
      </c>
      <c r="G63" s="21" t="n">
        <v>9</v>
      </c>
      <c r="H63" s="17" t="n">
        <v>71500000</v>
      </c>
      <c r="I63" s="17" t="n">
        <v>7800000</v>
      </c>
      <c r="J63" s="17" t="n">
        <v>47700</v>
      </c>
      <c r="K63" s="17" t="n">
        <v>43900</v>
      </c>
      <c r="L63" s="17">
        <f>I63+J63+K63</f>
        <v/>
      </c>
      <c r="M63" s="19">
        <f>L63/H63</f>
        <v/>
      </c>
      <c r="N63" s="18">
        <f>H63/F63</f>
        <v/>
      </c>
      <c r="O63" s="21" t="inlineStr">
        <is>
          <t>Non</t>
        </is>
      </c>
      <c r="P63" s="21" t="inlineStr">
        <is>
          <t>Oui</t>
        </is>
      </c>
    </row>
    <row r="64">
      <c r="A64" s="25" t="n">
        <v>60</v>
      </c>
      <c r="B64" s="13" t="inlineStr">
        <is>
          <t>@vudieuthuy91</t>
        </is>
      </c>
      <c r="C64" s="13" t="inlineStr">
        <is>
          <t>Vũ Diệu Thuý</t>
        </is>
      </c>
      <c r="D64" s="13" t="inlineStr">
        <is>
          <t>Humour &amp; Sketch</t>
        </is>
      </c>
      <c r="E64" s="13" t="inlineStr">
        <is>
          <t>Mid/Macro (1M-5M)</t>
        </is>
      </c>
      <c r="F64" s="14" t="n">
        <v>1900000</v>
      </c>
      <c r="G64" s="25" t="n">
        <v>19</v>
      </c>
      <c r="H64" s="14" t="n">
        <v>142900000</v>
      </c>
      <c r="I64" s="14" t="n">
        <v>7800000</v>
      </c>
      <c r="J64" s="14" t="n">
        <v>13600</v>
      </c>
      <c r="K64" s="14" t="n">
        <v>49800</v>
      </c>
      <c r="L64" s="14">
        <f>I64+J64+K64</f>
        <v/>
      </c>
      <c r="M64" s="16">
        <f>L64/H64</f>
        <v/>
      </c>
      <c r="N64" s="15">
        <f>H64/F64</f>
        <v/>
      </c>
      <c r="O64" s="25" t="inlineStr">
        <is>
          <t>Oui</t>
        </is>
      </c>
      <c r="P64" s="25" t="inlineStr">
        <is>
          <t>Non</t>
        </is>
      </c>
    </row>
    <row r="65">
      <c r="A65" s="21" t="n">
        <v>61</v>
      </c>
      <c r="B65" t="inlineStr">
        <is>
          <t>@samuelgrubbs</t>
        </is>
      </c>
      <c r="C65" t="inlineStr">
        <is>
          <t>Samuel Grubbs</t>
        </is>
      </c>
      <c r="D65" t="inlineStr">
        <is>
          <t>Talents &amp; Créativité</t>
        </is>
      </c>
      <c r="E65" t="inlineStr">
        <is>
          <t>Mega (5M+)</t>
        </is>
      </c>
      <c r="F65" s="17" t="n">
        <v>7900000</v>
      </c>
      <c r="G65" s="21" t="n">
        <v>16</v>
      </c>
      <c r="H65" s="17" t="n">
        <v>50100000</v>
      </c>
      <c r="I65" s="17" t="n">
        <v>7700000</v>
      </c>
      <c r="J65" s="17" t="n">
        <v>85600</v>
      </c>
      <c r="K65" s="17" t="n">
        <v>198400</v>
      </c>
      <c r="L65" s="17">
        <f>I65+J65+K65</f>
        <v/>
      </c>
      <c r="M65" s="19">
        <f>L65/H65</f>
        <v/>
      </c>
      <c r="N65" s="18">
        <f>H65/F65</f>
        <v/>
      </c>
      <c r="O65" s="21" t="inlineStr">
        <is>
          <t>Oui</t>
        </is>
      </c>
      <c r="P65" s="21" t="inlineStr">
        <is>
          <t>Oui</t>
        </is>
      </c>
    </row>
    <row r="66">
      <c r="A66" s="25" t="n">
        <v>62</v>
      </c>
      <c r="B66" s="13" t="inlineStr">
        <is>
          <t>@unreleased.polog</t>
        </is>
      </c>
      <c r="C66" s="13" t="inlineStr">
        <is>
          <t>Yath Alectha</t>
        </is>
      </c>
      <c r="D66" s="13" t="inlineStr">
        <is>
          <t>Humour &amp; Sketch</t>
        </is>
      </c>
      <c r="E66" s="13" t="inlineStr">
        <is>
          <t>Micro/Nano (&lt;1M)</t>
        </is>
      </c>
      <c r="F66" s="14" t="n">
        <v>257600</v>
      </c>
      <c r="G66" s="25" t="n">
        <v>38</v>
      </c>
      <c r="H66" s="14" t="n">
        <v>36000000</v>
      </c>
      <c r="I66" s="14" t="n">
        <v>7700000</v>
      </c>
      <c r="J66" s="14" t="n">
        <v>69400</v>
      </c>
      <c r="K66" s="14" t="n">
        <v>226400</v>
      </c>
      <c r="L66" s="14">
        <f>I66+J66+K66</f>
        <v/>
      </c>
      <c r="M66" s="16">
        <f>L66/H66</f>
        <v/>
      </c>
      <c r="N66" s="15">
        <f>H66/F66</f>
        <v/>
      </c>
      <c r="O66" s="25" t="inlineStr">
        <is>
          <t>Oui</t>
        </is>
      </c>
      <c r="P66" s="25" t="inlineStr">
        <is>
          <t>Non</t>
        </is>
      </c>
    </row>
    <row r="67">
      <c r="A67" s="21" t="n">
        <v>63</v>
      </c>
      <c r="B67" t="inlineStr">
        <is>
          <t>@the_mannii</t>
        </is>
      </c>
      <c r="C67" t="inlineStr">
        <is>
          <t>The Mannii Show</t>
        </is>
      </c>
      <c r="D67" t="inlineStr">
        <is>
          <t>Humour &amp; Sketch</t>
        </is>
      </c>
      <c r="E67" t="inlineStr">
        <is>
          <t>Mega (5M+)</t>
        </is>
      </c>
      <c r="F67" s="17" t="n">
        <v>10500000</v>
      </c>
      <c r="G67" s="21" t="n">
        <v>43</v>
      </c>
      <c r="H67" s="17" t="n">
        <v>30500000</v>
      </c>
      <c r="I67" s="17" t="n">
        <v>7700000</v>
      </c>
      <c r="J67" s="17" t="n">
        <v>56200</v>
      </c>
      <c r="K67" s="17" t="n">
        <v>202800</v>
      </c>
      <c r="L67" s="17">
        <f>I67+J67+K67</f>
        <v/>
      </c>
      <c r="M67" s="19">
        <f>L67/H67</f>
        <v/>
      </c>
      <c r="N67" s="18">
        <f>H67/F67</f>
        <v/>
      </c>
      <c r="O67" s="21" t="inlineStr">
        <is>
          <t>Oui</t>
        </is>
      </c>
      <c r="P67" s="21" t="inlineStr">
        <is>
          <t>Oui</t>
        </is>
      </c>
    </row>
    <row r="68">
      <c r="A68" s="25" t="n">
        <v>64</v>
      </c>
      <c r="B68" s="13" t="inlineStr">
        <is>
          <t>@maliksizzlee</t>
        </is>
      </c>
      <c r="C68" s="13" t="inlineStr">
        <is>
          <t>Malik 🤪</t>
        </is>
      </c>
      <c r="D68" s="13" t="inlineStr">
        <is>
          <t>Humour &amp; Sketch</t>
        </is>
      </c>
      <c r="E68" s="13" t="inlineStr">
        <is>
          <t>Micro/Nano (&lt;1M)</t>
        </is>
      </c>
      <c r="F68" s="14" t="n">
        <v>516000</v>
      </c>
      <c r="G68" s="25" t="n">
        <v>8</v>
      </c>
      <c r="H68" s="14" t="n">
        <v>40800000</v>
      </c>
      <c r="I68" s="14" t="n">
        <v>7700000</v>
      </c>
      <c r="J68" s="14" t="n">
        <v>55300</v>
      </c>
      <c r="K68" s="14" t="n">
        <v>620400</v>
      </c>
      <c r="L68" s="14">
        <f>I68+J68+K68</f>
        <v/>
      </c>
      <c r="M68" s="16">
        <f>L68/H68</f>
        <v/>
      </c>
      <c r="N68" s="15">
        <f>H68/F68</f>
        <v/>
      </c>
      <c r="O68" s="25" t="inlineStr">
        <is>
          <t>Oui</t>
        </is>
      </c>
      <c r="P68" s="25" t="inlineStr">
        <is>
          <t>Non</t>
        </is>
      </c>
    </row>
    <row r="69">
      <c r="A69" s="21" t="n">
        <v>65</v>
      </c>
      <c r="B69" t="inlineStr">
        <is>
          <t>@daquan</t>
        </is>
      </c>
      <c r="C69" t="inlineStr">
        <is>
          <t>daquan</t>
        </is>
      </c>
      <c r="D69" t="inlineStr">
        <is>
          <t>Famille &amp; Couple</t>
        </is>
      </c>
      <c r="E69" t="inlineStr">
        <is>
          <t>Mega (5M+)</t>
        </is>
      </c>
      <c r="F69" s="17" t="n">
        <v>8700000</v>
      </c>
      <c r="G69" s="21" t="n">
        <v>7</v>
      </c>
      <c r="H69" s="17" t="n">
        <v>50700000</v>
      </c>
      <c r="I69" s="17" t="n">
        <v>7600000</v>
      </c>
      <c r="J69" s="17" t="n">
        <v>77100</v>
      </c>
      <c r="K69" s="17" t="n">
        <v>478500</v>
      </c>
      <c r="L69" s="17">
        <f>I69+J69+K69</f>
        <v/>
      </c>
      <c r="M69" s="19">
        <f>L69/H69</f>
        <v/>
      </c>
      <c r="N69" s="18">
        <f>H69/F69</f>
        <v/>
      </c>
      <c r="O69" s="21" t="inlineStr">
        <is>
          <t>Oui</t>
        </is>
      </c>
      <c r="P69" s="21" t="inlineStr">
        <is>
          <t>Oui</t>
        </is>
      </c>
    </row>
    <row r="70">
      <c r="A70" s="25" t="n">
        <v>66</v>
      </c>
      <c r="B70" s="13" t="inlineStr">
        <is>
          <t>@tizilwa</t>
        </is>
      </c>
      <c r="C70" s="13" t="inlineStr">
        <is>
          <t>Dilkash Dhany Ramnauth</t>
        </is>
      </c>
      <c r="D70" s="13" t="inlineStr">
        <is>
          <t>Humour &amp; Sketch</t>
        </is>
      </c>
      <c r="E70" s="13" t="inlineStr">
        <is>
          <t>Mid/Macro (1M-5M)</t>
        </is>
      </c>
      <c r="F70" s="14" t="n">
        <v>1300000</v>
      </c>
      <c r="G70" s="25" t="n">
        <v>56</v>
      </c>
      <c r="H70" s="14" t="n">
        <v>102000000</v>
      </c>
      <c r="I70" s="14" t="n">
        <v>7600000</v>
      </c>
      <c r="J70" s="14" t="n">
        <v>114600</v>
      </c>
      <c r="K70" s="14" t="n">
        <v>473400</v>
      </c>
      <c r="L70" s="14">
        <f>I70+J70+K70</f>
        <v/>
      </c>
      <c r="M70" s="16">
        <f>L70/H70</f>
        <v/>
      </c>
      <c r="N70" s="15">
        <f>H70/F70</f>
        <v/>
      </c>
      <c r="O70" s="25" t="inlineStr">
        <is>
          <t>Oui</t>
        </is>
      </c>
      <c r="P70" s="25" t="inlineStr">
        <is>
          <t>Non</t>
        </is>
      </c>
    </row>
    <row r="71">
      <c r="A71" s="21" t="n">
        <v>67</v>
      </c>
      <c r="B71" t="inlineStr">
        <is>
          <t>@celiajunguito1</t>
        </is>
      </c>
      <c r="C71" t="inlineStr">
        <is>
          <t>Celiajunguito</t>
        </is>
      </c>
      <c r="D71" t="inlineStr">
        <is>
          <t>Humour &amp; Sketch</t>
        </is>
      </c>
      <c r="E71" t="inlineStr">
        <is>
          <t>Micro/Nano (&lt;1M)</t>
        </is>
      </c>
      <c r="F71" s="17" t="n">
        <v>398400</v>
      </c>
      <c r="G71" s="21" t="n">
        <v>15</v>
      </c>
      <c r="H71" s="17" t="n">
        <v>97200000</v>
      </c>
      <c r="I71" s="17" t="n">
        <v>7600000</v>
      </c>
      <c r="J71" s="17" t="n">
        <v>44500</v>
      </c>
      <c r="K71" s="17" t="n">
        <v>66600</v>
      </c>
      <c r="L71" s="17">
        <f>I71+J71+K71</f>
        <v/>
      </c>
      <c r="M71" s="19">
        <f>L71/H71</f>
        <v/>
      </c>
      <c r="N71" s="18">
        <f>H71/F71</f>
        <v/>
      </c>
      <c r="O71" s="21" t="inlineStr">
        <is>
          <t>Oui</t>
        </is>
      </c>
      <c r="P71" s="21" t="inlineStr">
        <is>
          <t>Non</t>
        </is>
      </c>
    </row>
    <row r="72">
      <c r="A72" s="25" t="n">
        <v>68</v>
      </c>
      <c r="B72" s="13" t="inlineStr">
        <is>
          <t>@relaxedbryan</t>
        </is>
      </c>
      <c r="C72" s="13" t="inlineStr">
        <is>
          <t>Relaxed Bryan</t>
        </is>
      </c>
      <c r="D72" s="13" t="inlineStr">
        <is>
          <t>Famille &amp; Couple</t>
        </is>
      </c>
      <c r="E72" s="13" t="inlineStr">
        <is>
          <t>Mid/Macro (1M-5M)</t>
        </is>
      </c>
      <c r="F72" s="14" t="n">
        <v>1900000</v>
      </c>
      <c r="G72" s="25" t="n">
        <v>8</v>
      </c>
      <c r="H72" s="14" t="n">
        <v>142000000</v>
      </c>
      <c r="I72" s="14" t="n">
        <v>7600000</v>
      </c>
      <c r="J72" s="14" t="n">
        <v>63200</v>
      </c>
      <c r="K72" s="14" t="n">
        <v>711800</v>
      </c>
      <c r="L72" s="14">
        <f>I72+J72+K72</f>
        <v/>
      </c>
      <c r="M72" s="16">
        <f>L72/H72</f>
        <v/>
      </c>
      <c r="N72" s="15">
        <f>H72/F72</f>
        <v/>
      </c>
      <c r="O72" s="25" t="inlineStr">
        <is>
          <t>Oui</t>
        </is>
      </c>
      <c r="P72" s="25" t="inlineStr">
        <is>
          <t>Non</t>
        </is>
      </c>
    </row>
    <row r="73">
      <c r="A73" s="21" t="n">
        <v>69</v>
      </c>
      <c r="B73" t="inlineStr">
        <is>
          <t>@kmed101</t>
        </is>
      </c>
      <c r="C73" t="inlineStr">
        <is>
          <t>kmed101</t>
        </is>
      </c>
      <c r="D73" t="inlineStr">
        <is>
          <t>Humour &amp; Sketch</t>
        </is>
      </c>
      <c r="E73" t="inlineStr">
        <is>
          <t>Micro/Nano (&lt;1M)</t>
        </is>
      </c>
      <c r="F73" s="17" t="n">
        <v>824700</v>
      </c>
      <c r="G73" s="21" t="n">
        <v>9</v>
      </c>
      <c r="H73" s="17" t="n">
        <v>49100000</v>
      </c>
      <c r="I73" s="17" t="n">
        <v>7500000</v>
      </c>
      <c r="J73" s="17" t="n">
        <v>41200</v>
      </c>
      <c r="K73" s="17" t="n">
        <v>442500</v>
      </c>
      <c r="L73" s="17">
        <f>I73+J73+K73</f>
        <v/>
      </c>
      <c r="M73" s="19">
        <f>L73/H73</f>
        <v/>
      </c>
      <c r="N73" s="18">
        <f>H73/F73</f>
        <v/>
      </c>
      <c r="O73" s="21" t="inlineStr">
        <is>
          <t>Oui</t>
        </is>
      </c>
      <c r="P73" s="21" t="inlineStr">
        <is>
          <t>Non</t>
        </is>
      </c>
    </row>
    <row r="74">
      <c r="A74" s="25" t="n">
        <v>70</v>
      </c>
      <c r="B74" s="13" t="inlineStr">
        <is>
          <t>@bryanduran100</t>
        </is>
      </c>
      <c r="C74" s="13" t="inlineStr">
        <is>
          <t>BRYAN DURAN</t>
        </is>
      </c>
      <c r="D74" s="13" t="inlineStr">
        <is>
          <t>Humour &amp; Sketch</t>
        </is>
      </c>
      <c r="E74" s="13" t="inlineStr">
        <is>
          <t>Mid/Macro (1M-5M)</t>
        </is>
      </c>
      <c r="F74" s="14" t="n">
        <v>4000000</v>
      </c>
      <c r="G74" s="25" t="n">
        <v>19</v>
      </c>
      <c r="H74" s="14" t="n">
        <v>56400000</v>
      </c>
      <c r="I74" s="14" t="n">
        <v>7500000</v>
      </c>
      <c r="J74" s="14" t="n">
        <v>150400</v>
      </c>
      <c r="K74" s="14" t="n">
        <v>255100</v>
      </c>
      <c r="L74" s="14">
        <f>I74+J74+K74</f>
        <v/>
      </c>
      <c r="M74" s="16">
        <f>L74/H74</f>
        <v/>
      </c>
      <c r="N74" s="15">
        <f>H74/F74</f>
        <v/>
      </c>
      <c r="O74" s="25" t="inlineStr">
        <is>
          <t>Oui</t>
        </is>
      </c>
      <c r="P74" s="25" t="inlineStr">
        <is>
          <t>Oui</t>
        </is>
      </c>
    </row>
    <row r="75">
      <c r="A75" s="21" t="n">
        <v>71</v>
      </c>
      <c r="B75" t="inlineStr">
        <is>
          <t>@mercuri_88</t>
        </is>
      </c>
      <c r="C75" t="inlineStr">
        <is>
          <t>Manuel Mercuri</t>
        </is>
      </c>
      <c r="D75" t="inlineStr">
        <is>
          <t>Famille &amp; Couple</t>
        </is>
      </c>
      <c r="E75" t="inlineStr">
        <is>
          <t>Mega (5M+)</t>
        </is>
      </c>
      <c r="F75" s="17" t="n">
        <v>14500000</v>
      </c>
      <c r="G75" s="21" t="n">
        <v>7</v>
      </c>
      <c r="H75" s="17" t="n">
        <v>59700000</v>
      </c>
      <c r="I75" s="17" t="n">
        <v>7500000</v>
      </c>
      <c r="J75" s="17" t="n">
        <v>64100</v>
      </c>
      <c r="K75" s="17" t="n">
        <v>431600</v>
      </c>
      <c r="L75" s="17">
        <f>I75+J75+K75</f>
        <v/>
      </c>
      <c r="M75" s="19">
        <f>L75/H75</f>
        <v/>
      </c>
      <c r="N75" s="18">
        <f>H75/F75</f>
        <v/>
      </c>
      <c r="O75" s="21" t="inlineStr">
        <is>
          <t>Oui</t>
        </is>
      </c>
      <c r="P75" s="21" t="inlineStr">
        <is>
          <t>Non</t>
        </is>
      </c>
    </row>
    <row r="76">
      <c r="A76" s="25" t="n">
        <v>72</v>
      </c>
      <c r="B76" s="13" t="inlineStr">
        <is>
          <t>@joshdub</t>
        </is>
      </c>
      <c r="C76" s="13" t="inlineStr">
        <is>
          <t>Joshdub</t>
        </is>
      </c>
      <c r="D76" s="13" t="inlineStr">
        <is>
          <t>Sports &amp; Gaming</t>
        </is>
      </c>
      <c r="E76" s="13" t="inlineStr">
        <is>
          <t>Mega (5M+)</t>
        </is>
      </c>
      <c r="F76" s="14" t="n">
        <v>8700000</v>
      </c>
      <c r="G76" s="25" t="n">
        <v>20</v>
      </c>
      <c r="H76" s="14" t="n">
        <v>41000000</v>
      </c>
      <c r="I76" s="14" t="n">
        <v>7400000</v>
      </c>
      <c r="J76" s="14" t="n">
        <v>37900</v>
      </c>
      <c r="K76" s="14" t="n">
        <v>291900</v>
      </c>
      <c r="L76" s="14">
        <f>I76+J76+K76</f>
        <v/>
      </c>
      <c r="M76" s="16">
        <f>L76/H76</f>
        <v/>
      </c>
      <c r="N76" s="15">
        <f>H76/F76</f>
        <v/>
      </c>
      <c r="O76" s="25" t="inlineStr">
        <is>
          <t>Oui</t>
        </is>
      </c>
      <c r="P76" s="25" t="inlineStr">
        <is>
          <t>Oui</t>
        </is>
      </c>
    </row>
    <row r="77">
      <c r="A77" s="21" t="n">
        <v>73</v>
      </c>
      <c r="B77" t="inlineStr">
        <is>
          <t>@iamchrxstopher</t>
        </is>
      </c>
      <c r="C77" t="inlineStr">
        <is>
          <t>CHRXSTOPHER</t>
        </is>
      </c>
      <c r="D77" t="inlineStr">
        <is>
          <t>Humour &amp; Sketch</t>
        </is>
      </c>
      <c r="E77" t="inlineStr">
        <is>
          <t>Mid/Macro (1M-5M)</t>
        </is>
      </c>
      <c r="F77" s="17" t="n">
        <v>1300000</v>
      </c>
      <c r="G77" s="21" t="n">
        <v>40</v>
      </c>
      <c r="H77" s="17" t="n">
        <v>34000000</v>
      </c>
      <c r="I77" s="17" t="n">
        <v>7400000</v>
      </c>
      <c r="J77" s="17" t="n">
        <v>91200</v>
      </c>
      <c r="K77" s="17" t="n">
        <v>464700</v>
      </c>
      <c r="L77" s="17">
        <f>I77+J77+K77</f>
        <v/>
      </c>
      <c r="M77" s="19">
        <f>L77/H77</f>
        <v/>
      </c>
      <c r="N77" s="18">
        <f>H77/F77</f>
        <v/>
      </c>
      <c r="O77" s="21" t="inlineStr">
        <is>
          <t>Oui</t>
        </is>
      </c>
      <c r="P77" s="21" t="inlineStr">
        <is>
          <t>Non</t>
        </is>
      </c>
    </row>
    <row r="78">
      <c r="A78" s="25" t="n">
        <v>74</v>
      </c>
      <c r="B78" s="13" t="inlineStr">
        <is>
          <t>@tedandlinda</t>
        </is>
      </c>
      <c r="C78" s="13" t="inlineStr">
        <is>
          <t>TedAndLinda</t>
        </is>
      </c>
      <c r="D78" s="13" t="inlineStr">
        <is>
          <t>Famille &amp; Couple</t>
        </is>
      </c>
      <c r="E78" s="13" t="inlineStr">
        <is>
          <t>Mid/Macro (1M-5M)</t>
        </is>
      </c>
      <c r="F78" s="14" t="n">
        <v>1800000</v>
      </c>
      <c r="G78" s="25" t="n">
        <v>57</v>
      </c>
      <c r="H78" s="14" t="n">
        <v>38000000</v>
      </c>
      <c r="I78" s="14" t="n">
        <v>7400000</v>
      </c>
      <c r="J78" s="14" t="n">
        <v>92800</v>
      </c>
      <c r="K78" s="14" t="n">
        <v>554700</v>
      </c>
      <c r="L78" s="14">
        <f>I78+J78+K78</f>
        <v/>
      </c>
      <c r="M78" s="16">
        <f>L78/H78</f>
        <v/>
      </c>
      <c r="N78" s="15">
        <f>H78/F78</f>
        <v/>
      </c>
      <c r="O78" s="25" t="inlineStr">
        <is>
          <t>Oui</t>
        </is>
      </c>
      <c r="P78" s="25" t="inlineStr">
        <is>
          <t>Non</t>
        </is>
      </c>
    </row>
    <row r="79">
      <c r="A79" s="21" t="n">
        <v>75</v>
      </c>
      <c r="B79" t="inlineStr">
        <is>
          <t>@arshsoni</t>
        </is>
      </c>
      <c r="C79" t="inlineStr">
        <is>
          <t>Arshdeep Soni</t>
        </is>
      </c>
      <c r="D79" t="inlineStr">
        <is>
          <t>Talents &amp; Créativité</t>
        </is>
      </c>
      <c r="E79" t="inlineStr">
        <is>
          <t>Mega (5M+)</t>
        </is>
      </c>
      <c r="F79" s="17" t="n">
        <v>9100000</v>
      </c>
      <c r="G79" s="21" t="n">
        <v>23</v>
      </c>
      <c r="H79" s="17" t="n">
        <v>69400000</v>
      </c>
      <c r="I79" s="17" t="n">
        <v>7400000</v>
      </c>
      <c r="J79" s="17" t="n">
        <v>14000</v>
      </c>
      <c r="K79" s="17" t="n">
        <v>81600</v>
      </c>
      <c r="L79" s="17">
        <f>I79+J79+K79</f>
        <v/>
      </c>
      <c r="M79" s="19">
        <f>L79/H79</f>
        <v/>
      </c>
      <c r="N79" s="18">
        <f>H79/F79</f>
        <v/>
      </c>
      <c r="O79" s="21" t="inlineStr">
        <is>
          <t>Oui</t>
        </is>
      </c>
      <c r="P79" s="21" t="inlineStr">
        <is>
          <t>Oui</t>
        </is>
      </c>
    </row>
    <row r="80">
      <c r="A80" s="25" t="n">
        <v>76</v>
      </c>
      <c r="B80" s="13" t="inlineStr">
        <is>
          <t>@orzutiextra</t>
        </is>
      </c>
      <c r="C80" s="13" t="inlineStr">
        <is>
          <t>Or Zuti</t>
        </is>
      </c>
      <c r="D80" s="13" t="inlineStr">
        <is>
          <t>Humour &amp; Sketch</t>
        </is>
      </c>
      <c r="E80" s="13" t="inlineStr">
        <is>
          <t>Mega (5M+)</t>
        </is>
      </c>
      <c r="F80" s="14" t="n">
        <v>5700000</v>
      </c>
      <c r="G80" s="25" t="n">
        <v>30</v>
      </c>
      <c r="H80" s="14" t="n">
        <v>53100000</v>
      </c>
      <c r="I80" s="14" t="n">
        <v>7300000</v>
      </c>
      <c r="J80" s="14" t="n">
        <v>12600</v>
      </c>
      <c r="K80" s="14" t="n">
        <v>21200</v>
      </c>
      <c r="L80" s="14">
        <f>I80+J80+K80</f>
        <v/>
      </c>
      <c r="M80" s="16">
        <f>L80/H80</f>
        <v/>
      </c>
      <c r="N80" s="15">
        <f>H80/F80</f>
        <v/>
      </c>
      <c r="O80" s="25" t="inlineStr">
        <is>
          <t>Non</t>
        </is>
      </c>
      <c r="P80" s="25" t="inlineStr">
        <is>
          <t>Oui</t>
        </is>
      </c>
    </row>
    <row r="81">
      <c r="A81" s="21" t="n">
        <v>77</v>
      </c>
      <c r="B81" t="inlineStr">
        <is>
          <t>@cs99tv</t>
        </is>
      </c>
      <c r="C81" t="inlineStr">
        <is>
          <t>CS99TV</t>
        </is>
      </c>
      <c r="D81" t="inlineStr">
        <is>
          <t>Sports &amp; Gaming</t>
        </is>
      </c>
      <c r="E81" t="inlineStr">
        <is>
          <t>Mid/Macro (1M-5M)</t>
        </is>
      </c>
      <c r="F81" s="17" t="n">
        <v>2300000</v>
      </c>
      <c r="G81" s="21" t="n">
        <v>23</v>
      </c>
      <c r="H81" s="17" t="n">
        <v>86200000</v>
      </c>
      <c r="I81" s="17" t="n">
        <v>7300000</v>
      </c>
      <c r="J81" s="17" t="n">
        <v>16300</v>
      </c>
      <c r="K81" s="17" t="n">
        <v>8102</v>
      </c>
      <c r="L81" s="17">
        <f>I81+J81+K81</f>
        <v/>
      </c>
      <c r="M81" s="19">
        <f>L81/H81</f>
        <v/>
      </c>
      <c r="N81" s="18">
        <f>H81/F81</f>
        <v/>
      </c>
      <c r="O81" s="21" t="inlineStr">
        <is>
          <t>Oui</t>
        </is>
      </c>
      <c r="P81" s="21" t="inlineStr">
        <is>
          <t>Non</t>
        </is>
      </c>
    </row>
    <row r="82">
      <c r="A82" s="25" t="n">
        <v>78</v>
      </c>
      <c r="B82" s="13" t="inlineStr">
        <is>
          <t>@itsjennaraine</t>
        </is>
      </c>
      <c r="C82" s="13" t="inlineStr">
        <is>
          <t>jenna raine</t>
        </is>
      </c>
      <c r="D82" s="13" t="inlineStr">
        <is>
          <t>Humour &amp; Sketch</t>
        </is>
      </c>
      <c r="E82" s="13" t="inlineStr">
        <is>
          <t>Mid/Macro (1M-5M)</t>
        </is>
      </c>
      <c r="F82" s="14" t="n">
        <v>1100000</v>
      </c>
      <c r="G82" s="25" t="n">
        <v>14</v>
      </c>
      <c r="H82" s="14" t="n">
        <v>38300000</v>
      </c>
      <c r="I82" s="14" t="n">
        <v>7300000</v>
      </c>
      <c r="J82" s="14" t="n">
        <v>37300</v>
      </c>
      <c r="K82" s="14" t="n">
        <v>173800</v>
      </c>
      <c r="L82" s="14">
        <f>I82+J82+K82</f>
        <v/>
      </c>
      <c r="M82" s="16">
        <f>L82/H82</f>
        <v/>
      </c>
      <c r="N82" s="15">
        <f>H82/F82</f>
        <v/>
      </c>
      <c r="O82" s="25" t="inlineStr">
        <is>
          <t>Oui</t>
        </is>
      </c>
      <c r="P82" s="25" t="inlineStr">
        <is>
          <t>Oui</t>
        </is>
      </c>
    </row>
    <row r="83">
      <c r="A83" s="21" t="n">
        <v>79</v>
      </c>
      <c r="B83" t="inlineStr">
        <is>
          <t>@brookeashleyhall</t>
        </is>
      </c>
      <c r="C83" t="inlineStr">
        <is>
          <t>Brooke Ashley Hall</t>
        </is>
      </c>
      <c r="D83" t="inlineStr">
        <is>
          <t>Famille &amp; Couple</t>
        </is>
      </c>
      <c r="E83" t="inlineStr">
        <is>
          <t>Mega (5M+)</t>
        </is>
      </c>
      <c r="F83" s="17" t="n">
        <v>6900000</v>
      </c>
      <c r="G83" s="21" t="n">
        <v>9</v>
      </c>
      <c r="H83" s="17" t="n">
        <v>50500000</v>
      </c>
      <c r="I83" s="17" t="n">
        <v>7200000</v>
      </c>
      <c r="J83" s="17" t="n">
        <v>37300</v>
      </c>
      <c r="K83" s="17" t="n">
        <v>227600</v>
      </c>
      <c r="L83" s="17">
        <f>I83+J83+K83</f>
        <v/>
      </c>
      <c r="M83" s="19">
        <f>L83/H83</f>
        <v/>
      </c>
      <c r="N83" s="18">
        <f>H83/F83</f>
        <v/>
      </c>
      <c r="O83" s="21" t="inlineStr">
        <is>
          <t>Oui</t>
        </is>
      </c>
      <c r="P83" s="21" t="inlineStr">
        <is>
          <t>Oui</t>
        </is>
      </c>
    </row>
    <row r="84">
      <c r="A84" s="25" t="n">
        <v>80</v>
      </c>
      <c r="B84" s="13" t="inlineStr">
        <is>
          <t>@kyleandjade_</t>
        </is>
      </c>
      <c r="C84" s="13" t="inlineStr">
        <is>
          <t>Kyle and Jade</t>
        </is>
      </c>
      <c r="D84" s="13" t="inlineStr">
        <is>
          <t>Famille &amp; Couple</t>
        </is>
      </c>
      <c r="E84" s="13" t="inlineStr">
        <is>
          <t>Mid/Macro (1M-5M)</t>
        </is>
      </c>
      <c r="F84" s="14" t="n">
        <v>4500000</v>
      </c>
      <c r="G84" s="25" t="n">
        <v>35</v>
      </c>
      <c r="H84" s="14" t="n">
        <v>40100000</v>
      </c>
      <c r="I84" s="14" t="n">
        <v>7100000</v>
      </c>
      <c r="J84" s="14" t="n">
        <v>71800</v>
      </c>
      <c r="K84" s="14" t="n">
        <v>375800</v>
      </c>
      <c r="L84" s="14">
        <f>I84+J84+K84</f>
        <v/>
      </c>
      <c r="M84" s="16">
        <f>L84/H84</f>
        <v/>
      </c>
      <c r="N84" s="15">
        <f>H84/F84</f>
        <v/>
      </c>
      <c r="O84" s="25" t="inlineStr">
        <is>
          <t>Non</t>
        </is>
      </c>
      <c r="P84" s="25" t="inlineStr">
        <is>
          <t>Oui</t>
        </is>
      </c>
    </row>
    <row r="85">
      <c r="A85" s="21" t="n">
        <v>81</v>
      </c>
      <c r="B85" t="inlineStr">
        <is>
          <t>@alissaballer</t>
        </is>
      </c>
      <c r="C85" t="inlineStr">
        <is>
          <t>alissaballer</t>
        </is>
      </c>
      <c r="D85" t="inlineStr">
        <is>
          <t>Famille &amp; Couple</t>
        </is>
      </c>
      <c r="E85" t="inlineStr">
        <is>
          <t>Micro/Nano (&lt;1M)</t>
        </is>
      </c>
      <c r="F85" s="17" t="n">
        <v>287800</v>
      </c>
      <c r="G85" s="21" t="n">
        <v>30</v>
      </c>
      <c r="H85" s="17" t="n">
        <v>49200000</v>
      </c>
      <c r="I85" s="17" t="n">
        <v>7100000</v>
      </c>
      <c r="J85" s="17" t="n">
        <v>27500</v>
      </c>
      <c r="K85" s="17" t="n">
        <v>19400</v>
      </c>
      <c r="L85" s="17">
        <f>I85+J85+K85</f>
        <v/>
      </c>
      <c r="M85" s="19">
        <f>L85/H85</f>
        <v/>
      </c>
      <c r="N85" s="18">
        <f>H85/F85</f>
        <v/>
      </c>
      <c r="O85" s="21" t="inlineStr">
        <is>
          <t>Oui</t>
        </is>
      </c>
      <c r="P85" s="21" t="inlineStr">
        <is>
          <t>Non</t>
        </is>
      </c>
    </row>
    <row r="86">
      <c r="A86" s="25" t="n">
        <v>82</v>
      </c>
      <c r="B86" s="13" t="inlineStr">
        <is>
          <t>@the89min</t>
        </is>
      </c>
      <c r="C86" s="13" t="inlineStr">
        <is>
          <t>Football One Love💔</t>
        </is>
      </c>
      <c r="D86" s="13" t="inlineStr">
        <is>
          <t>Sports &amp; Gaming</t>
        </is>
      </c>
      <c r="E86" s="13" t="inlineStr">
        <is>
          <t>Micro/Nano (&lt;1M)</t>
        </is>
      </c>
      <c r="F86" s="14" t="n">
        <v>961200</v>
      </c>
      <c r="G86" s="25" t="n">
        <v>22</v>
      </c>
      <c r="H86" s="14" t="n">
        <v>51500000</v>
      </c>
      <c r="I86" s="14" t="n">
        <v>7100000</v>
      </c>
      <c r="J86" s="14" t="n">
        <v>32100</v>
      </c>
      <c r="K86" s="14" t="n">
        <v>156400</v>
      </c>
      <c r="L86" s="14">
        <f>I86+J86+K86</f>
        <v/>
      </c>
      <c r="M86" s="16">
        <f>L86/H86</f>
        <v/>
      </c>
      <c r="N86" s="15">
        <f>H86/F86</f>
        <v/>
      </c>
      <c r="O86" s="25" t="inlineStr">
        <is>
          <t>Oui</t>
        </is>
      </c>
      <c r="P86" s="25" t="inlineStr">
        <is>
          <t>Non</t>
        </is>
      </c>
    </row>
    <row r="87">
      <c r="A87" s="21" t="n">
        <v>83</v>
      </c>
      <c r="B87" t="inlineStr">
        <is>
          <t>@jinsol_oh</t>
        </is>
      </c>
      <c r="C87" t="inlineStr">
        <is>
          <t>솔이</t>
        </is>
      </c>
      <c r="D87" t="inlineStr">
        <is>
          <t>Famille &amp; Couple</t>
        </is>
      </c>
      <c r="E87" t="inlineStr">
        <is>
          <t>Mid/Macro (1M-5M)</t>
        </is>
      </c>
      <c r="F87" s="17" t="n">
        <v>4400000</v>
      </c>
      <c r="G87" s="21" t="n">
        <v>24</v>
      </c>
      <c r="H87" s="17" t="n">
        <v>35200000</v>
      </c>
      <c r="I87" s="17" t="n">
        <v>7100000</v>
      </c>
      <c r="J87" s="17" t="n">
        <v>75000</v>
      </c>
      <c r="K87" s="17" t="n">
        <v>105200</v>
      </c>
      <c r="L87" s="17">
        <f>I87+J87+K87</f>
        <v/>
      </c>
      <c r="M87" s="19">
        <f>L87/H87</f>
        <v/>
      </c>
      <c r="N87" s="18">
        <f>H87/F87</f>
        <v/>
      </c>
      <c r="O87" s="21" t="inlineStr">
        <is>
          <t>Oui</t>
        </is>
      </c>
      <c r="P87" s="21" t="inlineStr">
        <is>
          <t>Oui</t>
        </is>
      </c>
    </row>
    <row r="88">
      <c r="A88" s="25" t="n">
        <v>84</v>
      </c>
      <c r="B88" s="13" t="inlineStr">
        <is>
          <t>@scottish_mychka</t>
        </is>
      </c>
      <c r="C88" s="13" t="inlineStr">
        <is>
          <t>🐾 Mychka 🐾</t>
        </is>
      </c>
      <c r="D88" s="13" t="inlineStr">
        <is>
          <t>Animaux &amp; Pets</t>
        </is>
      </c>
      <c r="E88" s="13" t="inlineStr">
        <is>
          <t>Micro/Nano (&lt;1M)</t>
        </is>
      </c>
      <c r="F88" s="14" t="n">
        <v>475800</v>
      </c>
      <c r="G88" s="25" t="n">
        <v>10</v>
      </c>
      <c r="H88" s="14" t="n">
        <v>38400000</v>
      </c>
      <c r="I88" s="14" t="n">
        <v>7100000</v>
      </c>
      <c r="J88" s="14" t="n">
        <v>77800</v>
      </c>
      <c r="K88" s="14" t="n">
        <v>253100</v>
      </c>
      <c r="L88" s="14">
        <f>I88+J88+K88</f>
        <v/>
      </c>
      <c r="M88" s="16">
        <f>L88/H88</f>
        <v/>
      </c>
      <c r="N88" s="15">
        <f>H88/F88</f>
        <v/>
      </c>
      <c r="O88" s="25" t="inlineStr">
        <is>
          <t>Oui</t>
        </is>
      </c>
      <c r="P88" s="25" t="inlineStr">
        <is>
          <t>Non</t>
        </is>
      </c>
    </row>
    <row r="89">
      <c r="A89" s="21" t="n">
        <v>85</v>
      </c>
      <c r="B89" t="inlineStr">
        <is>
          <t>@77_respect_7</t>
        </is>
      </c>
      <c r="C89" t="inlineStr">
        <is>
          <t>Moment of Respect✅✅⬇️</t>
        </is>
      </c>
      <c r="D89" t="inlineStr">
        <is>
          <t>Famille &amp; Couple</t>
        </is>
      </c>
      <c r="E89" t="inlineStr">
        <is>
          <t>Micro/Nano (&lt;1M)</t>
        </is>
      </c>
      <c r="F89" s="17" t="n">
        <v>550300</v>
      </c>
      <c r="G89" s="21" t="n">
        <v>13</v>
      </c>
      <c r="H89" s="17" t="n">
        <v>55200000</v>
      </c>
      <c r="I89" s="17" t="n">
        <v>7100000</v>
      </c>
      <c r="J89" s="17" t="n">
        <v>30500</v>
      </c>
      <c r="K89" s="17" t="n">
        <v>89700</v>
      </c>
      <c r="L89" s="17">
        <f>I89+J89+K89</f>
        <v/>
      </c>
      <c r="M89" s="19">
        <f>L89/H89</f>
        <v/>
      </c>
      <c r="N89" s="18">
        <f>H89/F89</f>
        <v/>
      </c>
      <c r="O89" s="21" t="inlineStr">
        <is>
          <t>Oui</t>
        </is>
      </c>
      <c r="P89" s="21" t="inlineStr">
        <is>
          <t>Non</t>
        </is>
      </c>
    </row>
    <row r="90">
      <c r="A90" s="25" t="n">
        <v>86</v>
      </c>
      <c r="B90" s="13" t="inlineStr">
        <is>
          <t>@thismightbeyasmina</t>
        </is>
      </c>
      <c r="C90" s="13" t="inlineStr">
        <is>
          <t>yasmina vakili</t>
        </is>
      </c>
      <c r="D90" s="13" t="inlineStr">
        <is>
          <t>Humour &amp; Sketch</t>
        </is>
      </c>
      <c r="E90" s="13" t="inlineStr">
        <is>
          <t>Micro/Nano (&lt;1M)</t>
        </is>
      </c>
      <c r="F90" s="14" t="n">
        <v>74300</v>
      </c>
      <c r="G90" s="25" t="n">
        <v>36</v>
      </c>
      <c r="H90" s="14" t="n">
        <v>31500000</v>
      </c>
      <c r="I90" s="14" t="n">
        <v>7000000</v>
      </c>
      <c r="J90" s="14" t="n">
        <v>48300</v>
      </c>
      <c r="K90" s="14" t="n">
        <v>150400</v>
      </c>
      <c r="L90" s="14">
        <f>I90+J90+K90</f>
        <v/>
      </c>
      <c r="M90" s="16">
        <f>L90/H90</f>
        <v/>
      </c>
      <c r="N90" s="15">
        <f>H90/F90</f>
        <v/>
      </c>
      <c r="O90" s="25" t="inlineStr">
        <is>
          <t>Oui</t>
        </is>
      </c>
      <c r="P90" s="25" t="inlineStr">
        <is>
          <t>Non</t>
        </is>
      </c>
    </row>
    <row r="91">
      <c r="A91" s="21" t="n">
        <v>87</v>
      </c>
      <c r="B91" t="inlineStr">
        <is>
          <t>@htxstorybookcharacters</t>
        </is>
      </c>
      <c r="C91" t="inlineStr">
        <is>
          <t>HTXStorybookCharacters</t>
        </is>
      </c>
      <c r="D91" t="inlineStr">
        <is>
          <t>Humour &amp; Sketch</t>
        </is>
      </c>
      <c r="E91" t="inlineStr">
        <is>
          <t>Micro/Nano (&lt;1M)</t>
        </is>
      </c>
      <c r="F91" s="17" t="n">
        <v>437300</v>
      </c>
      <c r="G91" s="21" t="n">
        <v>13</v>
      </c>
      <c r="H91" s="17" t="n">
        <v>34100000</v>
      </c>
      <c r="I91" s="17" t="n">
        <v>7000000</v>
      </c>
      <c r="J91" s="17" t="n">
        <v>25500</v>
      </c>
      <c r="K91" s="17" t="n">
        <v>33600</v>
      </c>
      <c r="L91" s="17">
        <f>I91+J91+K91</f>
        <v/>
      </c>
      <c r="M91" s="19">
        <f>L91/H91</f>
        <v/>
      </c>
      <c r="N91" s="18">
        <f>H91/F91</f>
        <v/>
      </c>
      <c r="O91" s="21" t="inlineStr">
        <is>
          <t>Oui</t>
        </is>
      </c>
      <c r="P91" s="21" t="inlineStr">
        <is>
          <t>Non</t>
        </is>
      </c>
    </row>
    <row r="92">
      <c r="A92" s="25" t="n">
        <v>88</v>
      </c>
      <c r="B92" s="13" t="inlineStr">
        <is>
          <t>@lastminute_21</t>
        </is>
      </c>
      <c r="C92" s="13" t="inlineStr">
        <is>
          <t xml:space="preserve">lastMinute_21 </t>
        </is>
      </c>
      <c r="D92" s="13" t="inlineStr">
        <is>
          <t>Talents &amp; Créativité</t>
        </is>
      </c>
      <c r="E92" s="13" t="inlineStr">
        <is>
          <t>Mid/Macro (1M-5M)</t>
        </is>
      </c>
      <c r="F92" s="14" t="n">
        <v>4500000</v>
      </c>
      <c r="G92" s="25" t="n">
        <v>20</v>
      </c>
      <c r="H92" s="14" t="n">
        <v>79400000</v>
      </c>
      <c r="I92" s="14" t="n">
        <v>7000000</v>
      </c>
      <c r="J92" s="14" t="n">
        <v>9796</v>
      </c>
      <c r="K92" s="14" t="n">
        <v>182100</v>
      </c>
      <c r="L92" s="14">
        <f>I92+J92+K92</f>
        <v/>
      </c>
      <c r="M92" s="16">
        <f>L92/H92</f>
        <v/>
      </c>
      <c r="N92" s="15">
        <f>H92/F92</f>
        <v/>
      </c>
      <c r="O92" s="25" t="inlineStr">
        <is>
          <t>Oui</t>
        </is>
      </c>
      <c r="P92" s="25" t="inlineStr">
        <is>
          <t>Oui</t>
        </is>
      </c>
    </row>
    <row r="93">
      <c r="A93" s="21" t="n">
        <v>89</v>
      </c>
      <c r="B93" t="inlineStr">
        <is>
          <t>@daily.wee</t>
        </is>
      </c>
      <c r="C93" t="inlineStr">
        <is>
          <t>Wee</t>
        </is>
      </c>
      <c r="D93" t="inlineStr">
        <is>
          <t>Animaux &amp; Pets</t>
        </is>
      </c>
      <c r="E93" t="inlineStr">
        <is>
          <t>Mid/Macro (1M-5M)</t>
        </is>
      </c>
      <c r="F93" s="17" t="n">
        <v>1800000</v>
      </c>
      <c r="G93" s="21" t="n">
        <v>7</v>
      </c>
      <c r="H93" s="17" t="n">
        <v>70700000</v>
      </c>
      <c r="I93" s="17" t="n">
        <v>7000000</v>
      </c>
      <c r="J93" s="17" t="n">
        <v>60100</v>
      </c>
      <c r="K93" s="17" t="n">
        <v>262900</v>
      </c>
      <c r="L93" s="17">
        <f>I93+J93+K93</f>
        <v/>
      </c>
      <c r="M93" s="19">
        <f>L93/H93</f>
        <v/>
      </c>
      <c r="N93" s="18">
        <f>H93/F93</f>
        <v/>
      </c>
      <c r="O93" s="21" t="inlineStr">
        <is>
          <t>Oui</t>
        </is>
      </c>
      <c r="P93" s="21" t="inlineStr">
        <is>
          <t>Non</t>
        </is>
      </c>
    </row>
    <row r="94">
      <c r="A94" s="25" t="n">
        <v>90</v>
      </c>
      <c r="B94" s="13" t="inlineStr">
        <is>
          <t>@ace.central</t>
        </is>
      </c>
      <c r="C94" s="13" t="inlineStr">
        <is>
          <t>Ace Central</t>
        </is>
      </c>
      <c r="D94" s="13" t="inlineStr">
        <is>
          <t>Talents &amp; Créativité</t>
        </is>
      </c>
      <c r="E94" s="13" t="inlineStr">
        <is>
          <t>Micro/Nano (&lt;1M)</t>
        </is>
      </c>
      <c r="F94" s="14" t="n">
        <v>294800</v>
      </c>
      <c r="G94" s="25" t="n">
        <v>12</v>
      </c>
      <c r="H94" s="14" t="n">
        <v>48700000</v>
      </c>
      <c r="I94" s="14" t="n">
        <v>7000000</v>
      </c>
      <c r="J94" s="14" t="n">
        <v>86800</v>
      </c>
      <c r="K94" s="14" t="n">
        <v>256400</v>
      </c>
      <c r="L94" s="14">
        <f>I94+J94+K94</f>
        <v/>
      </c>
      <c r="M94" s="16">
        <f>L94/H94</f>
        <v/>
      </c>
      <c r="N94" s="15">
        <f>H94/F94</f>
        <v/>
      </c>
      <c r="O94" s="25" t="inlineStr">
        <is>
          <t>Oui</t>
        </is>
      </c>
      <c r="P94" s="25" t="inlineStr">
        <is>
          <t>Non</t>
        </is>
      </c>
    </row>
    <row r="95">
      <c r="A95" s="21" t="n">
        <v>91</v>
      </c>
      <c r="B95" t="inlineStr">
        <is>
          <t>@joblessgarrett</t>
        </is>
      </c>
      <c r="C95" t="inlineStr">
        <is>
          <t>Garrett</t>
        </is>
      </c>
      <c r="D95" t="inlineStr">
        <is>
          <t>Sports &amp; Gaming</t>
        </is>
      </c>
      <c r="E95" t="inlineStr">
        <is>
          <t>Mid/Macro (1M-5M)</t>
        </is>
      </c>
      <c r="F95" s="17" t="n">
        <v>3600000</v>
      </c>
      <c r="G95" s="21" t="n">
        <v>42</v>
      </c>
      <c r="H95" s="17" t="n">
        <v>49800000</v>
      </c>
      <c r="I95" s="17" t="n">
        <v>7000000</v>
      </c>
      <c r="J95" s="17" t="n">
        <v>11100</v>
      </c>
      <c r="K95" s="17" t="n">
        <v>40800</v>
      </c>
      <c r="L95" s="17">
        <f>I95+J95+K95</f>
        <v/>
      </c>
      <c r="M95" s="19">
        <f>L95/H95</f>
        <v/>
      </c>
      <c r="N95" s="18">
        <f>H95/F95</f>
        <v/>
      </c>
      <c r="O95" s="21" t="inlineStr">
        <is>
          <t>Oui</t>
        </is>
      </c>
      <c r="P95" s="21" t="inlineStr">
        <is>
          <t>Oui</t>
        </is>
      </c>
    </row>
    <row r="96">
      <c r="A96" s="25" t="n">
        <v>92</v>
      </c>
      <c r="B96" s="13" t="inlineStr">
        <is>
          <t>@jinsol_oh</t>
        </is>
      </c>
      <c r="C96" s="13" t="inlineStr">
        <is>
          <t>솔이</t>
        </is>
      </c>
      <c r="D96" s="13" t="inlineStr">
        <is>
          <t>Famille &amp; Couple</t>
        </is>
      </c>
      <c r="E96" s="13" t="inlineStr">
        <is>
          <t>Mid/Macro (1M-5M)</t>
        </is>
      </c>
      <c r="F96" s="14" t="n">
        <v>4400000</v>
      </c>
      <c r="G96" s="25" t="n">
        <v>16</v>
      </c>
      <c r="H96" s="14" t="n">
        <v>48700000</v>
      </c>
      <c r="I96" s="14" t="n">
        <v>7000000</v>
      </c>
      <c r="J96" s="14" t="n">
        <v>26700</v>
      </c>
      <c r="K96" s="14" t="n">
        <v>39600</v>
      </c>
      <c r="L96" s="14">
        <f>I96+J96+K96</f>
        <v/>
      </c>
      <c r="M96" s="16">
        <f>L96/H96</f>
        <v/>
      </c>
      <c r="N96" s="15">
        <f>H96/F96</f>
        <v/>
      </c>
      <c r="O96" s="25" t="inlineStr">
        <is>
          <t>Oui</t>
        </is>
      </c>
      <c r="P96" s="25" t="inlineStr">
        <is>
          <t>Oui</t>
        </is>
      </c>
    </row>
    <row r="97">
      <c r="A97" s="21" t="n">
        <v>93</v>
      </c>
      <c r="B97" t="inlineStr">
        <is>
          <t>@ali.dakhlallah0</t>
        </is>
      </c>
      <c r="C97" t="inlineStr">
        <is>
          <t>Ali D</t>
        </is>
      </c>
      <c r="D97" t="inlineStr">
        <is>
          <t>Humour &amp; Sketch</t>
        </is>
      </c>
      <c r="E97" t="inlineStr">
        <is>
          <t>Micro/Nano (&lt;1M)</t>
        </is>
      </c>
      <c r="F97" s="17" t="n">
        <v>480700</v>
      </c>
      <c r="G97" s="21" t="n">
        <v>16</v>
      </c>
      <c r="H97" s="17" t="n">
        <v>43000000</v>
      </c>
      <c r="I97" s="17" t="n">
        <v>6900000</v>
      </c>
      <c r="J97" s="17" t="n">
        <v>70800</v>
      </c>
      <c r="K97" s="17" t="n">
        <v>116200</v>
      </c>
      <c r="L97" s="17">
        <f>I97+J97+K97</f>
        <v/>
      </c>
      <c r="M97" s="19">
        <f>L97/H97</f>
        <v/>
      </c>
      <c r="N97" s="18">
        <f>H97/F97</f>
        <v/>
      </c>
      <c r="O97" s="21" t="inlineStr">
        <is>
          <t>Oui</t>
        </is>
      </c>
      <c r="P97" s="21" t="inlineStr">
        <is>
          <t>Non</t>
        </is>
      </c>
    </row>
    <row r="98">
      <c r="A98" s="25" t="n">
        <v>94</v>
      </c>
      <c r="B98" s="13" t="inlineStr">
        <is>
          <t>@miyaevarenae</t>
        </is>
      </c>
      <c r="C98" s="13" t="inlineStr">
        <is>
          <t>Miyaeva Renae ♡</t>
        </is>
      </c>
      <c r="D98" s="13" t="inlineStr">
        <is>
          <t>Humour &amp; Sketch</t>
        </is>
      </c>
      <c r="E98" s="13" t="inlineStr">
        <is>
          <t>Mid/Macro (1M-5M)</t>
        </is>
      </c>
      <c r="F98" s="14" t="n">
        <v>5000000</v>
      </c>
      <c r="G98" s="25" t="n">
        <v>59</v>
      </c>
      <c r="H98" s="14" t="n">
        <v>32600000</v>
      </c>
      <c r="I98" s="14" t="n">
        <v>6900000</v>
      </c>
      <c r="J98" s="14" t="n">
        <v>25900</v>
      </c>
      <c r="K98" s="14" t="n">
        <v>43700</v>
      </c>
      <c r="L98" s="14">
        <f>I98+J98+K98</f>
        <v/>
      </c>
      <c r="M98" s="16">
        <f>L98/H98</f>
        <v/>
      </c>
      <c r="N98" s="15">
        <f>H98/F98</f>
        <v/>
      </c>
      <c r="O98" s="25" t="inlineStr">
        <is>
          <t>Non</t>
        </is>
      </c>
      <c r="P98" s="25" t="inlineStr">
        <is>
          <t>Non</t>
        </is>
      </c>
    </row>
    <row r="99">
      <c r="A99" s="21" t="n">
        <v>95</v>
      </c>
      <c r="B99" t="inlineStr">
        <is>
          <t>@jordi.koalitic</t>
        </is>
      </c>
      <c r="C99" t="inlineStr">
        <is>
          <t xml:space="preserve">@Jordi.koalitic </t>
        </is>
      </c>
      <c r="D99" t="inlineStr">
        <is>
          <t>Talents &amp; Créativité</t>
        </is>
      </c>
      <c r="E99" t="inlineStr">
        <is>
          <t>Mega (5M+)</t>
        </is>
      </c>
      <c r="F99" s="17" t="n">
        <v>19700000</v>
      </c>
      <c r="G99" s="21" t="n">
        <v>26</v>
      </c>
      <c r="H99" s="17" t="n">
        <v>55400000</v>
      </c>
      <c r="I99" s="17" t="n">
        <v>6900000</v>
      </c>
      <c r="J99" s="17" t="n">
        <v>10500</v>
      </c>
      <c r="K99" s="17" t="n">
        <v>136400</v>
      </c>
      <c r="L99" s="17">
        <f>I99+J99+K99</f>
        <v/>
      </c>
      <c r="M99" s="19">
        <f>L99/H99</f>
        <v/>
      </c>
      <c r="N99" s="18">
        <f>H99/F99</f>
        <v/>
      </c>
      <c r="O99" s="21" t="inlineStr">
        <is>
          <t>Oui</t>
        </is>
      </c>
      <c r="P99" s="21" t="inlineStr">
        <is>
          <t>Oui</t>
        </is>
      </c>
    </row>
    <row r="100">
      <c r="A100" s="25" t="n">
        <v>96</v>
      </c>
      <c r="B100" s="13" t="inlineStr">
        <is>
          <t>@thekiryalife</t>
        </is>
      </c>
      <c r="C100" s="13" t="inlineStr">
        <is>
          <t>Kirya Kolesnikov</t>
        </is>
      </c>
      <c r="D100" s="13" t="inlineStr">
        <is>
          <t>Talents &amp; Créativité</t>
        </is>
      </c>
      <c r="E100" s="13" t="inlineStr">
        <is>
          <t>Mega (5M+)</t>
        </is>
      </c>
      <c r="F100" s="14" t="n">
        <v>33200000</v>
      </c>
      <c r="G100" s="25" t="n">
        <v>59</v>
      </c>
      <c r="H100" s="14" t="n">
        <v>82300000</v>
      </c>
      <c r="I100" s="14" t="n">
        <v>6900000</v>
      </c>
      <c r="J100" s="14" t="n">
        <v>30800</v>
      </c>
      <c r="K100" s="14" t="n">
        <v>194900</v>
      </c>
      <c r="L100" s="14">
        <f>I100+J100+K100</f>
        <v/>
      </c>
      <c r="M100" s="16">
        <f>L100/H100</f>
        <v/>
      </c>
      <c r="N100" s="15">
        <f>H100/F100</f>
        <v/>
      </c>
      <c r="O100" s="25" t="inlineStr">
        <is>
          <t>Non</t>
        </is>
      </c>
      <c r="P100" s="25" t="inlineStr">
        <is>
          <t>Oui</t>
        </is>
      </c>
    </row>
    <row r="101">
      <c r="A101" s="21" t="n">
        <v>97</v>
      </c>
      <c r="B101" t="inlineStr">
        <is>
          <t>@kevinthatsweird</t>
        </is>
      </c>
      <c r="C101" t="inlineStr">
        <is>
          <t>Kevin That’s Weird</t>
        </is>
      </c>
      <c r="D101" t="inlineStr">
        <is>
          <t>Talents &amp; Créativité</t>
        </is>
      </c>
      <c r="E101" t="inlineStr">
        <is>
          <t>Mid/Macro (1M-5M)</t>
        </is>
      </c>
      <c r="F101" s="17" t="n">
        <v>3000000</v>
      </c>
      <c r="G101" s="21" t="n">
        <v>9</v>
      </c>
      <c r="H101" s="17" t="n">
        <v>55100000</v>
      </c>
      <c r="I101" s="17" t="n">
        <v>6900000</v>
      </c>
      <c r="J101" s="17" t="n">
        <v>74900</v>
      </c>
      <c r="K101" s="17" t="n">
        <v>118100</v>
      </c>
      <c r="L101" s="17">
        <f>I101+J101+K101</f>
        <v/>
      </c>
      <c r="M101" s="19">
        <f>L101/H101</f>
        <v/>
      </c>
      <c r="N101" s="18">
        <f>H101/F101</f>
        <v/>
      </c>
      <c r="O101" s="21" t="inlineStr">
        <is>
          <t>Non</t>
        </is>
      </c>
      <c r="P101" s="21" t="inlineStr">
        <is>
          <t>Non</t>
        </is>
      </c>
    </row>
    <row r="102">
      <c r="A102" s="25" t="n">
        <v>98</v>
      </c>
      <c r="B102" s="13" t="inlineStr">
        <is>
          <t>@dj_k9hondo</t>
        </is>
      </c>
      <c r="C102" s="13" t="inlineStr">
        <is>
          <t>DJ</t>
        </is>
      </c>
      <c r="D102" s="13" t="inlineStr">
        <is>
          <t>Talents &amp; Créativité</t>
        </is>
      </c>
      <c r="E102" s="13" t="inlineStr">
        <is>
          <t>Micro/Nano (&lt;1M)</t>
        </is>
      </c>
      <c r="F102" s="14" t="n">
        <v>958100</v>
      </c>
      <c r="G102" s="25" t="n">
        <v>15</v>
      </c>
      <c r="H102" s="14" t="n">
        <v>27700000</v>
      </c>
      <c r="I102" s="14" t="n">
        <v>6900000</v>
      </c>
      <c r="J102" s="14" t="n">
        <v>34800</v>
      </c>
      <c r="K102" s="14" t="n">
        <v>224600</v>
      </c>
      <c r="L102" s="14">
        <f>I102+J102+K102</f>
        <v/>
      </c>
      <c r="M102" s="16">
        <f>L102/H102</f>
        <v/>
      </c>
      <c r="N102" s="15">
        <f>H102/F102</f>
        <v/>
      </c>
      <c r="O102" s="25" t="inlineStr">
        <is>
          <t>Oui</t>
        </is>
      </c>
      <c r="P102" s="25" t="inlineStr">
        <is>
          <t>Non</t>
        </is>
      </c>
    </row>
    <row r="103">
      <c r="A103" s="21" t="n">
        <v>99</v>
      </c>
      <c r="B103" t="inlineStr">
        <is>
          <t>@skydeam00</t>
        </is>
      </c>
      <c r="C103" t="inlineStr">
        <is>
          <t>Kamrul</t>
        </is>
      </c>
      <c r="D103" t="inlineStr">
        <is>
          <t>Humour &amp; Sketch</t>
        </is>
      </c>
      <c r="E103" t="inlineStr">
        <is>
          <t>Micro/Nano (&lt;1M)</t>
        </is>
      </c>
      <c r="F103" s="17" t="n">
        <v>830400</v>
      </c>
      <c r="G103" s="21" t="n">
        <v>39</v>
      </c>
      <c r="H103" s="17" t="n">
        <v>58400000</v>
      </c>
      <c r="I103" s="17" t="n">
        <v>6800000</v>
      </c>
      <c r="J103" s="17" t="n">
        <v>71100</v>
      </c>
      <c r="K103" s="17" t="n">
        <v>205700</v>
      </c>
      <c r="L103" s="17">
        <f>I103+J103+K103</f>
        <v/>
      </c>
      <c r="M103" s="19">
        <f>L103/H103</f>
        <v/>
      </c>
      <c r="N103" s="18">
        <f>H103/F103</f>
        <v/>
      </c>
      <c r="O103" s="21" t="inlineStr">
        <is>
          <t>Non</t>
        </is>
      </c>
      <c r="P103" s="21" t="inlineStr">
        <is>
          <t>Non</t>
        </is>
      </c>
    </row>
    <row r="104">
      <c r="A104" s="25" t="n">
        <v>100</v>
      </c>
      <c r="B104" s="13" t="inlineStr">
        <is>
          <t>@pol.fam</t>
        </is>
      </c>
      <c r="C104" s="13" t="inlineStr">
        <is>
          <t>Семья Полиенко</t>
        </is>
      </c>
      <c r="D104" s="13" t="inlineStr">
        <is>
          <t>Animaux &amp; Pets</t>
        </is>
      </c>
      <c r="E104" s="13" t="inlineStr">
        <is>
          <t>Mid/Macro (1M-5M)</t>
        </is>
      </c>
      <c r="F104" s="14" t="n">
        <v>1500000</v>
      </c>
      <c r="G104" s="25" t="n">
        <v>37</v>
      </c>
      <c r="H104" s="14" t="n">
        <v>161300000</v>
      </c>
      <c r="I104" s="14" t="n">
        <v>6800000</v>
      </c>
      <c r="J104" s="14" t="n">
        <v>31600</v>
      </c>
      <c r="K104" s="14" t="n">
        <v>46700</v>
      </c>
      <c r="L104" s="14">
        <f>I104+J104+K104</f>
        <v/>
      </c>
      <c r="M104" s="16">
        <f>L104/H104</f>
        <v/>
      </c>
      <c r="N104" s="15">
        <f>H104/F104</f>
        <v/>
      </c>
      <c r="O104" s="25" t="inlineStr">
        <is>
          <t>Oui</t>
        </is>
      </c>
      <c r="P104" s="25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2026-10-05T13:36:41Z</dcterms:created>
  <dcterms:modified xsi:type="dcterms:W3CDTF">2026-10-05T13:36:42Z</dcterms:modified>
</cp:coreProperties>
</file>